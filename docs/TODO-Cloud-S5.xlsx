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e" sheetId="1" r:id="rId5"/>
    <sheet state="visible" name="Liste des tâches" sheetId="2" r:id="rId6"/>
    <sheet state="visible" name="Recap" sheetId="3" r:id="rId7"/>
    <sheet state="visible" name="Detail_avancement" sheetId="4" r:id="rId8"/>
    <sheet state="visible" name="Avancement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<sst xmlns="http://schemas.openxmlformats.org/spreadsheetml/2006/main" count="789" uniqueCount="251">
  <si>
    <t>ETU003113</t>
  </si>
  <si>
    <t>HARINAMBININA Ranto Luciano</t>
  </si>
  <si>
    <t>ETU003122</t>
  </si>
  <si>
    <t>MILIARASON Harentsoa Michou</t>
  </si>
  <si>
    <t>ETU003149</t>
  </si>
  <si>
    <t>RAKOTOBE Faniry Ntsoa Eva</t>
  </si>
  <si>
    <t>ETU003216</t>
  </si>
  <si>
    <t>RAZAFINDRALAMBO Izakatsimba Herana</t>
  </si>
  <si>
    <t>Ligne</t>
  </si>
  <si>
    <t>Catégorie</t>
  </si>
  <si>
    <t>Module</t>
  </si>
  <si>
    <t>Taches</t>
  </si>
  <si>
    <t>Type</t>
  </si>
  <si>
    <t>Qui</t>
  </si>
  <si>
    <t>Estimation</t>
  </si>
  <si>
    <t>Temps passé</t>
  </si>
  <si>
    <t>Reste à faire</t>
  </si>
  <si>
    <t>Avancement</t>
  </si>
  <si>
    <t>Détails (optionnel)</t>
  </si>
  <si>
    <t>API Auth, Module Cartes, Module Web</t>
  </si>
  <si>
    <t>Setup</t>
  </si>
  <si>
    <t>Intialiser le depot Git</t>
  </si>
  <si>
    <t>Infrastructure</t>
  </si>
  <si>
    <t>API Auth</t>
  </si>
  <si>
    <t>Analyse besoins authentification</t>
  </si>
  <si>
    <t>Analyse</t>
  </si>
  <si>
    <t>Configuration environnement Docker</t>
  </si>
  <si>
    <t>Configuration Firebase projet</t>
  </si>
  <si>
    <t>Configuration Base locale Docker</t>
  </si>
  <si>
    <t>Tests connexion Firebase</t>
  </si>
  <si>
    <t>Tests</t>
  </si>
  <si>
    <t>Tests connexion Base locale</t>
  </si>
  <si>
    <t>Inscription</t>
  </si>
  <si>
    <t>Design endpoint inscription</t>
  </si>
  <si>
    <t>Backend</t>
  </si>
  <si>
    <t>Validation email</t>
  </si>
  <si>
    <t>Validation mot de passe</t>
  </si>
  <si>
    <t>Hashage mot de passe</t>
  </si>
  <si>
    <t>Création compte Firebase</t>
  </si>
  <si>
    <t>Création compte Base locale</t>
  </si>
  <si>
    <t>Gestion doublons</t>
  </si>
  <si>
    <t>Tests unitaires inscription</t>
  </si>
  <si>
    <t>Authentification</t>
  </si>
  <si>
    <t>Design endpoint login</t>
  </si>
  <si>
    <t>Vérification credentials Firebase</t>
  </si>
  <si>
    <t>Vérification credentials Base locale</t>
  </si>
  <si>
    <t>Génération token JWT</t>
  </si>
  <si>
    <t>Configuration durée vie token</t>
  </si>
  <si>
    <t>Refresh token</t>
  </si>
  <si>
    <t>Validation token middleware</t>
  </si>
  <si>
    <t>Redesign user firestore et local</t>
  </si>
  <si>
    <t>Sécurité</t>
  </si>
  <si>
    <t>Compteur tentatives connexion</t>
  </si>
  <si>
    <t>Paramétrage limite tentatives</t>
  </si>
  <si>
    <t>Blocage compte automatique</t>
  </si>
  <si>
    <t>Endpoint réinitialisation blocage</t>
  </si>
  <si>
    <t>Log tentatives connexion</t>
  </si>
  <si>
    <t>Modification</t>
  </si>
  <si>
    <t>Sync data profil to firestore</t>
  </si>
  <si>
    <t>Endpoint modification profil</t>
  </si>
  <si>
    <t>Documentation</t>
  </si>
  <si>
    <t>Installation Swagger</t>
  </si>
  <si>
    <t>Debug Swagger pour laravel PHP</t>
  </si>
  <si>
    <t>Documentation endpoint inscription</t>
  </si>
  <si>
    <t>Documentation endpoint login</t>
  </si>
  <si>
    <t>Documentation endpoint modification</t>
  </si>
  <si>
    <t>Exemples requêtes/réponses</t>
  </si>
  <si>
    <t>Module Cartes</t>
  </si>
  <si>
    <t>Analyse des besoins cartographiques</t>
  </si>
  <si>
    <t>Choix des sources cartographiques offline</t>
  </si>
  <si>
    <t>Installation Docker serveur de cartes offline</t>
  </si>
  <si>
    <t>Configuration stockage tuiles offline</t>
  </si>
  <si>
    <t>Téléchargement données Antananarivo</t>
  </si>
  <si>
    <t>Génération des tuiles cartographiques</t>
  </si>
  <si>
    <t>Test accès API serveur de cartes</t>
  </si>
  <si>
    <t>Création module Cartes Laravel</t>
  </si>
  <si>
    <t>Développement</t>
  </si>
  <si>
    <t>Configuration sécurité API Cartes</t>
  </si>
  <si>
    <t>Création endpoints API Cartes</t>
  </si>
  <si>
    <t>Endpoint métadonnées cartographiques</t>
  </si>
  <si>
    <t>Endpoint gestion markers</t>
  </si>
  <si>
    <t>Endpoint couches cartographiques</t>
  </si>
  <si>
    <t>Intégration Leaflet côté API</t>
  </si>
  <si>
    <t>Gestion cache réponses cartographiques</t>
  </si>
  <si>
    <t>Optimisation</t>
  </si>
  <si>
    <t>Test</t>
  </si>
  <si>
    <t>Tests unitaires API Cartes</t>
  </si>
  <si>
    <t>Tests intégration serveur offline</t>
  </si>
  <si>
    <t>Documentation technique Module Cartes</t>
  </si>
  <si>
    <t>Guide déploiement cartes offline</t>
  </si>
  <si>
    <t>Maintenance</t>
  </si>
  <si>
    <t>Plan mise à jour données cartographiques</t>
  </si>
  <si>
    <t>Module Web Backend</t>
  </si>
  <si>
    <t>Conception</t>
  </si>
  <si>
    <t>Conception base de données</t>
  </si>
  <si>
    <t>Modélisation des tables PostgreSQL : users, roles, signalements, entreprises, statuts, historiques, relations géographiques (lat/lng), contraintes et index</t>
  </si>
  <si>
    <t>Initialisation module API Laravel</t>
  </si>
  <si>
    <t>Structuration du module backend (Controllers, Services, Repositories, Policies)</t>
  </si>
  <si>
    <t>Configuration PostgreSQL Docker</t>
  </si>
  <si>
    <t>Configuration du conteneur PostgreSQL, volumes persistants, variables d’environnement Laravel</t>
  </si>
  <si>
    <t>Auth</t>
  </si>
  <si>
    <t>Intégration Sanctum (API only)</t>
  </si>
  <si>
    <t>Utilisation de Sanctum pour sécuriser les routes API selon les rôles (visitor, user, manager)</t>
  </si>
  <si>
    <t>Connexion Firebase existante</t>
  </si>
  <si>
    <t>Utilisation des tokens Firebase pour l’authentification déjà implémentée</t>
  </si>
  <si>
    <t>Roles</t>
  </si>
  <si>
    <t>Gestion des rôles utilisateurs</t>
  </si>
  <si>
    <t>Implémentation des rôles Visiteur, Utilisateur, Manager via policies et middleware</t>
  </si>
  <si>
    <t>Compte Manager par défaut</t>
  </si>
  <si>
    <t>Création automatique d’un compte manager lors du déploiement (seeder)</t>
  </si>
  <si>
    <t>Signalements</t>
  </si>
  <si>
    <t>Création entité Signalement</t>
  </si>
  <si>
    <t>Modèle Signalement : position GPS, statut, date, surface (m²), budget, entreprise, description</t>
  </si>
  <si>
    <t>API création signalement utilisateur</t>
  </si>
  <si>
    <t>Endpoint REST pour créer un signalement (utilisateur authentifié)</t>
  </si>
  <si>
    <t>Validation métier signalement</t>
  </si>
  <si>
    <t>Logique Métier</t>
  </si>
  <si>
    <t>Vérification coordonnées GPS, valeurs surface/budget, statut initial = nouveau</t>
  </si>
  <si>
    <t>Listing géographique des signalements</t>
  </si>
  <si>
    <t>Endpoint retournant tous les points GPS pour affichage Leaflet (GeoJSON ou JSON optimisé)</t>
  </si>
  <si>
    <t>Filtrage des signalements</t>
  </si>
  <si>
    <t>Filtrer par statut, date, zone géographique, entreprise</t>
  </si>
  <si>
    <t>Hover infos signalement</t>
  </si>
  <si>
    <t>API fournissant les infos détaillées (date, statut, surface, budget, entreprise)</t>
  </si>
  <si>
    <t>Statistiques globales visiteurs</t>
  </si>
  <si>
    <t>Calcul dynamique : nombre de points, surface totale, avancement %, budget total</t>
  </si>
  <si>
    <t>Calcul avancement %</t>
  </si>
  <si>
    <t>Avancement basé sur statuts (nouveau=0, en cours=50, terminé=100)</t>
  </si>
  <si>
    <t>Managers</t>
  </si>
  <si>
    <t>Modification statut signalement</t>
  </si>
  <si>
    <t>Endpoint sécurisé pour modifier le statut d’un signalement (manager uniquement)</t>
  </si>
  <si>
    <t>Mise à jour infos signalement</t>
  </si>
  <si>
    <t>Gestion surface, budget, entreprise associée par manager</t>
  </si>
  <si>
    <t>Synchronisation Firebase</t>
  </si>
  <si>
    <t>Récupération des signalements en ligne depuis Firebase</t>
  </si>
  <si>
    <t>Envoi données vers Firebase</t>
  </si>
  <si>
    <t>Publication des données nécessaires pour affichage mobile (format optimisé)</t>
  </si>
  <si>
    <t>Bouton synchronisation API</t>
  </si>
  <si>
    <t>Endpoint déclenchant la synchronisation Firebase manuellement</t>
  </si>
  <si>
    <t>Gestion utilisateurs bloqués</t>
  </si>
  <si>
    <t>Page API pour lister, débloquer ou suspendre des utilisateurs</t>
  </si>
  <si>
    <t>Logs actions managers</t>
  </si>
  <si>
    <t>Journalisation des actions critiques (statuts, budgets, synchronisation)</t>
  </si>
  <si>
    <t>API</t>
  </si>
  <si>
    <t>Normalisation réponses API</t>
  </si>
  <si>
    <t>Format JSON standard (status, data, errors)</t>
  </si>
  <si>
    <t>Performance</t>
  </si>
  <si>
    <t>Index géographiques PostgreSQL</t>
  </si>
  <si>
    <t>Index sur latitude/longitude pour requêtes rapides</t>
  </si>
  <si>
    <t>Tests unitaires signalements</t>
  </si>
  <si>
    <t>Tests des règles métier et des calculs statistiques</t>
  </si>
  <si>
    <t>Tests sécurité API</t>
  </si>
  <si>
    <t>Vérification accès visiteurs/utilisateurs/managers</t>
  </si>
  <si>
    <t>Documentation API Backend</t>
  </si>
  <si>
    <t>Endpoints, rôles, flux Firebase, logique métier</t>
  </si>
  <si>
    <t>Plan évolutivité backend</t>
  </si>
  <si>
    <t>Prévoir extension vers notifications, historique détaillé, analytics</t>
  </si>
  <si>
    <t>Module Web</t>
  </si>
  <si>
    <t>Profils</t>
  </si>
  <si>
    <t>Middleware vérification profil JWT</t>
  </si>
  <si>
    <t>Routes Visiteur Laravel</t>
  </si>
  <si>
    <t>Routes Utilisateur Laravel</t>
  </si>
  <si>
    <t>Routes Manager Laravel</t>
  </si>
  <si>
    <t>Carte Visiteur</t>
  </si>
  <si>
    <t>Composant carte Leaflet React</t>
  </si>
  <si>
    <t>Frontend</t>
  </si>
  <si>
    <t>Service API récupération signalements</t>
  </si>
  <si>
    <t>Chargement markers React</t>
  </si>
  <si>
    <t>Popup au survol React</t>
  </si>
  <si>
    <t>Affichage date signalement</t>
  </si>
  <si>
    <t>Affichage statut</t>
  </si>
  <si>
    <t>Affichage surface m2</t>
  </si>
  <si>
    <t>Affichage budget</t>
  </si>
  <si>
    <t>Affichage entreprise</t>
  </si>
  <si>
    <t>Tableau Visiteur</t>
  </si>
  <si>
    <t>Composant tableau React</t>
  </si>
  <si>
    <t>Compteur nombre signalements</t>
  </si>
  <si>
    <t>Calcul total surface</t>
  </si>
  <si>
    <t>Calcul pourcentage avancement</t>
  </si>
  <si>
    <t>Calcul total budget</t>
  </si>
  <si>
    <t>Manager</t>
  </si>
  <si>
    <t>Interface gestion React</t>
  </si>
  <si>
    <t>Bouton synchronisation</t>
  </si>
  <si>
    <t>API récupération Firebase Laravel</t>
  </si>
  <si>
    <t>API envoi Firebase Laravel</t>
  </si>
  <si>
    <t>Service sync Firebase React</t>
  </si>
  <si>
    <t>Formulaire surface m2 React</t>
  </si>
  <si>
    <t>Formulaire budget React</t>
  </si>
  <si>
    <t>Sélection entreprise React</t>
  </si>
  <si>
    <t>Modification statut React</t>
  </si>
  <si>
    <t>API sauvegarde Laravel avec JWT</t>
  </si>
  <si>
    <t>Base de données</t>
  </si>
  <si>
    <t>Conception MCD complet</t>
  </si>
  <si>
    <t>Database</t>
  </si>
  <si>
    <t>Migrations Laravel signalements</t>
  </si>
  <si>
    <t>Migrations Laravel statuts</t>
  </si>
  <si>
    <t>Models Eloquent Laravel</t>
  </si>
  <si>
    <t>Relations Eloquent</t>
  </si>
  <si>
    <t>Module Mobile</t>
  </si>
  <si>
    <t>Module Mobile Setup</t>
  </si>
  <si>
    <t>Configurer le projet Ionic</t>
  </si>
  <si>
    <t>Configurer Capacitor</t>
  </si>
  <si>
    <t>Installer Leaflet pour mobile</t>
  </si>
  <si>
    <t>Module Mobile Auth</t>
  </si>
  <si>
    <t>Implémenter la connexion Firebase</t>
  </si>
  <si>
    <t>Module Mobile Carte</t>
  </si>
  <si>
    <t>Créer le service de carte MapService</t>
  </si>
  <si>
    <t>Créer le composant carte principal MapComponent</t>
  </si>
  <si>
    <t>Configurer les tuiles OpenStreetMap TileLayerConfig</t>
  </si>
  <si>
    <t>Implémenter les contrôles de carte MapControls</t>
  </si>
  <si>
    <t>Module Mobile State &amp; Network</t>
  </si>
  <si>
    <t>Créer le gestionnaire d'état carte MapStateManager</t>
  </si>
  <si>
    <t>Implémenter la détection de connexion NetworkDetector</t>
  </si>
  <si>
    <t>Module Mobile UI Navigation</t>
  </si>
  <si>
    <t>Créer le composant de navigation MapNavigationComponent</t>
  </si>
  <si>
    <t>Module Mobile Optimisation</t>
  </si>
  <si>
    <t>Implémenter la gestion des erreurs MapErrorHandler</t>
  </si>
  <si>
    <t>Optimiser les performances MapPerformanceOptimizer</t>
  </si>
  <si>
    <t>Module Mobile Tests</t>
  </si>
  <si>
    <t>Créer les tests unitaires MapComponent.spec</t>
  </si>
  <si>
    <t>Intégrer avec l'interface mobile MapPage</t>
  </si>
  <si>
    <t>Tester sur appareil réel la carte mobile</t>
  </si>
  <si>
    <t>Module Mobile Notifications</t>
  </si>
  <si>
    <t>Recevoir une notification à chaque changements de status</t>
  </si>
  <si>
    <t>Module Mobile Photos</t>
  </si>
  <si>
    <t>Ajouter un ou plusieur photos</t>
  </si>
  <si>
    <t>Module Mobile Firebase</t>
  </si>
  <si>
    <t>Configurer le stockage des fichier dans firebase</t>
  </si>
  <si>
    <t>Module Mobile Affichage</t>
  </si>
  <si>
    <t>Affichage des photos sur la carte</t>
  </si>
  <si>
    <t>Fix utilisateurs non synced</t>
  </si>
  <si>
    <t>Modification controllers Signalement et User pour firestore prioritaire puis local</t>
  </si>
  <si>
    <t>Creation de la table pour les images</t>
  </si>
  <si>
    <t>Deploiement</t>
  </si>
  <si>
    <t>Generation de l'apk du module mobile</t>
  </si>
  <si>
    <t xml:space="preserve">Categoriser les types de reparations (1 - 10) </t>
  </si>
  <si>
    <t>definition prix par m_2 et calcule automatique du budget</t>
  </si>
  <si>
    <t>POSTMAN</t>
  </si>
  <si>
    <t>Configuration et creation des API postman</t>
  </si>
  <si>
    <t>Donnée de test postman</t>
  </si>
  <si>
    <t>SUM de Estimation</t>
  </si>
  <si>
    <t>SUM de Temps passé</t>
  </si>
  <si>
    <t>SUM de Reste à faire</t>
  </si>
  <si>
    <t>Total général</t>
  </si>
  <si>
    <t>Total</t>
  </si>
  <si>
    <t>estimation total</t>
  </si>
  <si>
    <t>temps passé total</t>
  </si>
  <si>
    <t>reste à faire total</t>
  </si>
  <si>
    <t>avancement</t>
  </si>
  <si>
    <t>dépassement</t>
  </si>
  <si>
    <t>heure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</si>
</sst>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dd/mm"/>
  </numFmts>
  <fonts count="32">
    <font>
      <sz val="10.0"/>
      <color rgb="FF000000"/>
      <name val="Arial"/>
      <scheme val="minor"/>
    </font>
    <font>
      <color theme="1"/>
      <name val="Arial"/>
    </font>
    <font>
      <sz val="14.0"/>
      <color theme="1"/>
      <name val="Arial"/>
      <scheme val="minor"/>
    </font>
    <font>
      <b/>
      <sz val="11.0"/>
      <color theme="1"/>
      <name val="Arial"/>
    </font>
    <font>
      <b/>
      <sz val="11.0"/>
      <color theme="1"/>
      <name val="Liberation Serif"/>
    </font>
    <font>
      <color theme="1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color rgb="FF434343"/>
      <name val="Roboto"/>
    </font>
    <font>
      <color rgb="FF2C481F"/>
      <name val="Roboto"/>
    </font>
    <font>
      <color rgb="FF2A3243"/>
      <name val="Roboto"/>
    </font>
    <font>
      <color rgb="FF133819"/>
      <name val="Roboto"/>
    </font>
    <font>
      <color rgb="FF3F4170"/>
      <name val="Roboto"/>
    </font>
    <font>
      <color rgb="FF3F4528"/>
      <name val="Roboto"/>
    </font>
    <font>
      <color rgb="FF131D38"/>
      <name val="Roboto"/>
    </font>
    <font>
      <color rgb="FF4B3C74"/>
      <name val="Roboto"/>
    </font>
    <font>
      <color rgb="FF6A2723"/>
      <name val="Roboto"/>
    </font>
    <font>
      <color rgb="FF363871"/>
      <name val="Roboto"/>
    </font>
    <font>
      <color rgb="FF682B45"/>
      <name val="Roboto"/>
    </font>
    <font>
      <color rgb="FF751A14"/>
      <name val="Roboto"/>
    </font>
    <font>
      <color rgb="FF842E2E"/>
      <name val="Roboto"/>
    </font>
    <font>
      <color rgb="FF3A3D80"/>
      <name val="Roboto"/>
    </font>
    <font>
      <color rgb="FF383A3C"/>
      <name val="Roboto"/>
    </font>
    <font>
      <color rgb="FF4C535E"/>
      <name val="Roboto"/>
    </font>
    <font>
      <color rgb="FF363F32"/>
      <name val="Roboto"/>
    </font>
    <font>
      <color rgb="FF444D5F"/>
      <name val="Roboto"/>
    </font>
    <font>
      <color rgb="FFFFFFFF"/>
      <name val="Arial"/>
    </font>
    <font>
      <b/>
      <color theme="1"/>
      <name val="Arial"/>
      <scheme val="minor"/>
    </font>
    <font>
      <b/>
      <sz val="12.0"/>
      <color theme="1"/>
      <name val="Arial"/>
    </font>
    <font>
      <b/>
      <sz val="12.0"/>
      <color theme="1"/>
      <name val="Arial"/>
      <scheme val="minor"/>
    </font>
    <font>
      <b/>
      <sz val="12.0"/>
      <color theme="1"/>
      <name val="Aptos Narrow"/>
    </font>
    <font>
      <sz val="12.0"/>
      <color theme="1"/>
      <name val="Aptos Narrow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8093B3"/>
        <bgColor rgb="FF8093B3"/>
      </patternFill>
    </fill>
    <fill>
      <patternFill patternType="solid">
        <fgColor rgb="FFFFE599"/>
        <bgColor rgb="FFFFE599"/>
      </patternFill>
    </fill>
    <fill>
      <patternFill patternType="solid">
        <fgColor rgb="FF95DCF7"/>
        <bgColor rgb="FF95DCF7"/>
      </patternFill>
    </fill>
  </fills>
  <borders count="2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000000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000000"/>
      </right>
      <bottom style="thin">
        <color rgb="FFFFFFFF"/>
      </bottom>
    </border>
    <border>
      <top style="thin">
        <color rgb="FFF6F8F9"/>
      </top>
      <bottom style="thin">
        <color rgb="FFF6F8F9"/>
      </bottom>
    </border>
    <border>
      <right style="thin">
        <color rgb="FF000000"/>
      </right>
      <top style="thin">
        <color rgb="FFF6F8F9"/>
      </top>
      <bottom style="thin">
        <color rgb="FFF6F8F9"/>
      </bottom>
    </border>
    <border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top style="thin">
        <color rgb="FFFFFFFF"/>
      </top>
    </border>
    <border>
      <right style="thin">
        <color rgb="FF000000"/>
      </right>
      <top style="thin">
        <color rgb="FFFFFFFF"/>
      </top>
    </border>
    <border>
      <bottom style="thick">
        <color rgb="FF8093B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readingOrder="0"/>
    </xf>
    <xf borderId="1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2" fillId="0" fontId="1" numFmtId="0" xfId="0" applyAlignment="1" applyBorder="1" applyFont="1">
      <alignment horizontal="right" shrinkToFit="0" vertical="bottom" wrapText="0"/>
    </xf>
    <xf borderId="0" fillId="0" fontId="6" numFmtId="10" xfId="0" applyAlignment="1" applyFont="1" applyNumberFormat="1">
      <alignment horizontal="right" shrinkToFit="0" vertical="bottom" wrapText="0"/>
    </xf>
    <xf borderId="3" fillId="0" fontId="7" numFmtId="0" xfId="0" applyAlignment="1" applyBorder="1" applyFon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right" shrinkToFit="0" vertical="bottom" wrapText="0"/>
    </xf>
    <xf borderId="5" fillId="0" fontId="7" numFmtId="0" xfId="0" applyAlignment="1" applyBorder="1" applyFont="1">
      <alignment horizontal="right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6" fillId="2" fontId="8" numFmtId="0" xfId="0" applyAlignment="1" applyBorder="1" applyFill="1" applyFont="1">
      <alignment shrinkToFit="0" vertical="bottom" wrapText="0"/>
    </xf>
    <xf borderId="7" fillId="2" fontId="9" numFmtId="0" xfId="0" applyAlignment="1" applyBorder="1" applyFont="1">
      <alignment shrinkToFit="0" vertical="bottom" wrapText="0"/>
    </xf>
    <xf borderId="7" fillId="2" fontId="8" numFmtId="0" xfId="0" applyAlignment="1" applyBorder="1" applyFont="1">
      <alignment shrinkToFit="0" vertical="bottom" wrapText="0"/>
    </xf>
    <xf borderId="7" fillId="2" fontId="8" numFmtId="0" xfId="0" applyAlignment="1" applyBorder="1" applyFont="1">
      <alignment shrinkToFit="0" vertical="bottom" wrapText="0"/>
    </xf>
    <xf borderId="7" fillId="2" fontId="8" numFmtId="0" xfId="0" applyAlignment="1" applyBorder="1" applyFont="1">
      <alignment readingOrder="0" shrinkToFit="0" vertical="bottom" wrapText="0"/>
    </xf>
    <xf borderId="8" fillId="2" fontId="8" numFmtId="0" xfId="0" applyAlignment="1" applyBorder="1" applyFont="1">
      <alignment horizontal="right" shrinkToFit="0" vertical="bottom" wrapText="0"/>
    </xf>
    <xf borderId="9" fillId="3" fontId="8" numFmtId="0" xfId="0" applyAlignment="1" applyBorder="1" applyFill="1" applyFont="1">
      <alignment shrinkToFit="0" vertical="bottom" wrapText="0"/>
    </xf>
    <xf borderId="10" fillId="3" fontId="9" numFmtId="0" xfId="0" applyAlignment="1" applyBorder="1" applyFont="1">
      <alignment shrinkToFit="0" vertical="bottom" wrapText="0"/>
    </xf>
    <xf borderId="10" fillId="3" fontId="8" numFmtId="0" xfId="0" applyAlignment="1" applyBorder="1" applyFont="1">
      <alignment shrinkToFit="0" vertical="bottom" wrapText="0"/>
    </xf>
    <xf borderId="10" fillId="3" fontId="8" numFmtId="0" xfId="0" applyAlignment="1" applyBorder="1" applyFont="1">
      <alignment shrinkToFit="0" vertical="bottom" wrapText="0"/>
    </xf>
    <xf borderId="10" fillId="3" fontId="8" numFmtId="0" xfId="0" applyAlignment="1" applyBorder="1" applyFont="1">
      <alignment readingOrder="0" shrinkToFit="0" vertical="bottom" wrapText="0"/>
    </xf>
    <xf borderId="11" fillId="3" fontId="8" numFmtId="0" xfId="0" applyAlignment="1" applyBorder="1" applyFont="1">
      <alignment horizontal="right" shrinkToFit="0" vertical="bottom" wrapText="0"/>
    </xf>
    <xf borderId="7" fillId="2" fontId="10" numFmtId="0" xfId="0" applyAlignment="1" applyBorder="1" applyFont="1">
      <alignment shrinkToFit="0" vertical="bottom" wrapText="0"/>
    </xf>
    <xf borderId="8" fillId="2" fontId="8" numFmtId="0" xfId="0" applyAlignment="1" applyBorder="1" applyFont="1">
      <alignment horizontal="right" readingOrder="0" shrinkToFit="0" vertical="bottom" wrapText="0"/>
    </xf>
    <xf borderId="10" fillId="3" fontId="10" numFmtId="0" xfId="0" applyAlignment="1" applyBorder="1" applyFont="1">
      <alignment shrinkToFit="0" vertical="bottom" wrapText="0"/>
    </xf>
    <xf borderId="7" fillId="2" fontId="8" numFmtId="0" xfId="0" applyAlignment="1" applyBorder="1" applyFont="1">
      <alignment readingOrder="0" shrinkToFit="0" vertical="bottom" wrapText="0"/>
    </xf>
    <xf borderId="10" fillId="3" fontId="11" numFmtId="0" xfId="0" applyAlignment="1" applyBorder="1" applyFont="1">
      <alignment shrinkToFit="0" vertical="bottom" wrapText="0"/>
    </xf>
    <xf borderId="7" fillId="2" fontId="11" numFmtId="0" xfId="0" applyAlignment="1" applyBorder="1" applyFont="1">
      <alignment shrinkToFit="0" vertical="bottom" wrapText="0"/>
    </xf>
    <xf borderId="11" fillId="3" fontId="8" numFmtId="0" xfId="0" applyAlignment="1" applyBorder="1" applyFont="1">
      <alignment horizontal="right" readingOrder="0" shrinkToFit="0" vertical="bottom" wrapText="0"/>
    </xf>
    <xf borderId="10" fillId="3" fontId="12" numFmtId="0" xfId="0" applyAlignment="1" applyBorder="1" applyFont="1">
      <alignment shrinkToFit="0" vertical="bottom" wrapText="0"/>
    </xf>
    <xf borderId="10" fillId="3" fontId="8" numFmtId="0" xfId="0" applyAlignment="1" applyBorder="1" applyFont="1">
      <alignment readingOrder="0" shrinkToFit="0" vertical="bottom" wrapText="0"/>
    </xf>
    <xf borderId="7" fillId="2" fontId="12" numFmtId="0" xfId="0" applyAlignment="1" applyBorder="1" applyFont="1">
      <alignment shrinkToFit="0" vertical="bottom" wrapText="0"/>
    </xf>
    <xf borderId="10" fillId="3" fontId="13" numFmtId="0" xfId="0" applyAlignment="1" applyBorder="1" applyFont="1">
      <alignment shrinkToFit="0" vertical="bottom" wrapText="0"/>
    </xf>
    <xf borderId="12" fillId="2" fontId="8" numFmtId="0" xfId="0" applyAlignment="1" applyBorder="1" applyFont="1">
      <alignment shrinkToFit="0" vertical="bottom" wrapText="0"/>
    </xf>
    <xf borderId="13" fillId="2" fontId="13" numFmtId="0" xfId="0" applyAlignment="1" applyBorder="1" applyFont="1">
      <alignment shrinkToFit="0" vertical="bottom" wrapText="0"/>
    </xf>
    <xf borderId="13" fillId="2" fontId="8" numFmtId="0" xfId="0" applyAlignment="1" applyBorder="1" applyFont="1">
      <alignment shrinkToFit="0" vertical="bottom" wrapText="0"/>
    </xf>
    <xf borderId="13" fillId="2" fontId="8" numFmtId="0" xfId="0" applyAlignment="1" applyBorder="1" applyFont="1">
      <alignment shrinkToFit="0" vertical="bottom" wrapText="0"/>
    </xf>
    <xf borderId="13" fillId="2" fontId="8" numFmtId="0" xfId="0" applyAlignment="1" applyBorder="1" applyFont="1">
      <alignment readingOrder="0" shrinkToFit="0" vertical="bottom" wrapText="0"/>
    </xf>
    <xf borderId="14" fillId="2" fontId="8" numFmtId="0" xfId="0" applyAlignment="1" applyBorder="1" applyFont="1">
      <alignment horizontal="right" shrinkToFit="0" vertical="bottom" wrapText="0"/>
    </xf>
    <xf borderId="0" fillId="3" fontId="8" numFmtId="0" xfId="0" applyAlignment="1" applyFont="1">
      <alignment shrinkToFit="0" vertical="bottom" wrapText="0"/>
    </xf>
    <xf borderId="0" fillId="3" fontId="14" numFmtId="0" xfId="0" applyAlignment="1" applyFont="1">
      <alignment shrinkToFit="0" vertical="bottom" wrapText="0"/>
    </xf>
    <xf borderId="0" fillId="3" fontId="8" numFmtId="0" xfId="0" applyAlignment="1" applyFont="1">
      <alignment shrinkToFit="0" vertical="bottom" wrapText="0"/>
    </xf>
    <xf borderId="0" fillId="3" fontId="8" numFmtId="0" xfId="0" applyAlignment="1" applyFont="1">
      <alignment shrinkToFit="0" vertical="bottom" wrapText="0"/>
    </xf>
    <xf borderId="0" fillId="3" fontId="8" numFmtId="0" xfId="0" applyAlignment="1" applyFont="1">
      <alignment readingOrder="0" shrinkToFit="0" vertical="bottom" wrapText="0"/>
    </xf>
    <xf borderId="0" fillId="3" fontId="8" numFmtId="0" xfId="0" applyAlignment="1" applyFont="1">
      <alignment horizontal="right" shrinkToFit="0" vertical="bottom" wrapText="0"/>
    </xf>
    <xf borderId="0" fillId="0" fontId="7" numFmtId="0" xfId="0" applyAlignment="1" applyFont="1">
      <alignment horizontal="right" shrinkToFit="0" vertical="bottom" wrapText="0"/>
    </xf>
    <xf borderId="15" fillId="2" fontId="8" numFmtId="0" xfId="0" applyAlignment="1" applyBorder="1" applyFont="1">
      <alignment shrinkToFit="0" vertical="center" wrapText="0"/>
    </xf>
    <xf borderId="16" fillId="2" fontId="8" numFmtId="0" xfId="0" applyAlignment="1" applyBorder="1" applyFont="1">
      <alignment shrinkToFit="0" vertical="center" wrapText="0"/>
    </xf>
    <xf borderId="16" fillId="2" fontId="8" numFmtId="0" xfId="0" applyAlignment="1" applyBorder="1" applyFont="1">
      <alignment shrinkToFit="0" vertical="center" wrapText="0"/>
    </xf>
    <xf borderId="16" fillId="2" fontId="8" numFmtId="0" xfId="0" applyAlignment="1" applyBorder="1" applyFont="1">
      <alignment readingOrder="0" shrinkToFit="0" vertical="center" wrapText="0"/>
    </xf>
    <xf borderId="17" fillId="2" fontId="8" numFmtId="0" xfId="0" applyAlignment="1" applyBorder="1" applyFont="1">
      <alignment horizontal="right" shrinkToFit="0" vertical="center" wrapText="0"/>
    </xf>
    <xf borderId="18" fillId="2" fontId="1" numFmtId="0" xfId="0" applyAlignment="1" applyBorder="1" applyFont="1">
      <alignment shrinkToFit="0" vertical="center" wrapText="0"/>
    </xf>
    <xf borderId="19" fillId="2" fontId="8" numFmtId="0" xfId="0" applyAlignment="1" applyBorder="1" applyFont="1">
      <alignment shrinkToFit="0" vertical="center" wrapText="0"/>
    </xf>
    <xf borderId="9" fillId="3" fontId="8" numFmtId="0" xfId="0" applyAlignment="1" applyBorder="1" applyFont="1">
      <alignment shrinkToFit="0" vertical="center" wrapText="0"/>
    </xf>
    <xf borderId="10" fillId="3" fontId="8" numFmtId="0" xfId="0" applyAlignment="1" applyBorder="1" applyFont="1">
      <alignment shrinkToFit="0" vertical="center" wrapText="0"/>
    </xf>
    <xf borderId="10" fillId="3" fontId="8" numFmtId="0" xfId="0" applyAlignment="1" applyBorder="1" applyFont="1">
      <alignment shrinkToFit="0" vertical="center" wrapText="0"/>
    </xf>
    <xf borderId="10" fillId="3" fontId="8" numFmtId="0" xfId="0" applyAlignment="1" applyBorder="1" applyFont="1">
      <alignment readingOrder="0" shrinkToFit="0" vertical="center" wrapText="0"/>
    </xf>
    <xf borderId="11" fillId="3" fontId="8" numFmtId="0" xfId="0" applyAlignment="1" applyBorder="1" applyFont="1">
      <alignment horizontal="right" shrinkToFit="0" vertical="center" wrapText="0"/>
    </xf>
    <xf borderId="20" fillId="3" fontId="1" numFmtId="0" xfId="0" applyAlignment="1" applyBorder="1" applyFont="1">
      <alignment shrinkToFit="0" vertical="center" wrapText="0"/>
    </xf>
    <xf borderId="21" fillId="3" fontId="8" numFmtId="0" xfId="0" applyAlignment="1" applyBorder="1" applyFont="1">
      <alignment shrinkToFit="0" vertical="center" wrapText="0"/>
    </xf>
    <xf borderId="6" fillId="2" fontId="8" numFmtId="0" xfId="0" applyAlignment="1" applyBorder="1" applyFont="1">
      <alignment shrinkToFit="0" vertical="center" wrapText="0"/>
    </xf>
    <xf borderId="7" fillId="2" fontId="8" numFmtId="0" xfId="0" applyAlignment="1" applyBorder="1" applyFont="1">
      <alignment shrinkToFit="0" vertical="center" wrapText="0"/>
    </xf>
    <xf borderId="7" fillId="2" fontId="8" numFmtId="0" xfId="0" applyAlignment="1" applyBorder="1" applyFont="1">
      <alignment shrinkToFit="0" vertical="center" wrapText="0"/>
    </xf>
    <xf borderId="7" fillId="2" fontId="8" numFmtId="0" xfId="0" applyAlignment="1" applyBorder="1" applyFont="1">
      <alignment readingOrder="0" shrinkToFit="0" vertical="center" wrapText="0"/>
    </xf>
    <xf borderId="8" fillId="2" fontId="8" numFmtId="0" xfId="0" applyAlignment="1" applyBorder="1" applyFont="1">
      <alignment horizontal="right" shrinkToFit="0" vertical="center" wrapText="0"/>
    </xf>
    <xf borderId="22" fillId="2" fontId="1" numFmtId="0" xfId="0" applyAlignment="1" applyBorder="1" applyFont="1">
      <alignment shrinkToFit="0" vertical="center" wrapText="0"/>
    </xf>
    <xf borderId="23" fillId="2" fontId="8" numFmtId="0" xfId="0" applyAlignment="1" applyBorder="1" applyFont="1">
      <alignment shrinkToFit="0" vertical="center" wrapText="0"/>
    </xf>
    <xf borderId="9" fillId="3" fontId="8" numFmtId="0" xfId="0" applyAlignment="1" applyBorder="1" applyFont="1">
      <alignment readingOrder="0" shrinkToFit="0" vertical="center" wrapText="0"/>
    </xf>
    <xf borderId="11" fillId="3" fontId="8" numFmtId="0" xfId="0" applyAlignment="1" applyBorder="1" applyFont="1">
      <alignment horizontal="right" readingOrder="0" shrinkToFit="0" vertical="center" wrapText="0"/>
    </xf>
    <xf borderId="6" fillId="2" fontId="8" numFmtId="0" xfId="0" applyAlignment="1" applyBorder="1" applyFont="1">
      <alignment readingOrder="0" shrinkToFit="0" vertical="center" wrapText="0"/>
    </xf>
    <xf borderId="8" fillId="2" fontId="8" numFmtId="0" xfId="0" applyAlignment="1" applyBorder="1" applyFont="1">
      <alignment horizontal="right" readingOrder="0" shrinkToFit="0" vertical="center" wrapText="0"/>
    </xf>
    <xf borderId="10" fillId="3" fontId="8" numFmtId="0" xfId="0" applyAlignment="1" applyBorder="1" applyFont="1">
      <alignment shrinkToFit="0" vertical="center" wrapText="0"/>
    </xf>
    <xf borderId="7" fillId="2" fontId="8" numFmtId="0" xfId="0" applyAlignment="1" applyBorder="1" applyFont="1">
      <alignment shrinkToFit="0" vertical="center" wrapText="0"/>
    </xf>
    <xf borderId="12" fillId="2" fontId="8" numFmtId="0" xfId="0" applyAlignment="1" applyBorder="1" applyFont="1">
      <alignment shrinkToFit="0" vertical="center" wrapText="0"/>
    </xf>
    <xf borderId="13" fillId="2" fontId="8" numFmtId="0" xfId="0" applyAlignment="1" applyBorder="1" applyFont="1">
      <alignment shrinkToFit="0" vertical="center" wrapText="0"/>
    </xf>
    <xf borderId="13" fillId="2" fontId="8" numFmtId="0" xfId="0" applyAlignment="1" applyBorder="1" applyFont="1">
      <alignment shrinkToFit="0" vertical="center" wrapText="0"/>
    </xf>
    <xf borderId="13" fillId="2" fontId="8" numFmtId="0" xfId="0" applyAlignment="1" applyBorder="1" applyFont="1">
      <alignment shrinkToFit="0" vertical="center" wrapText="0"/>
    </xf>
    <xf borderId="14" fillId="2" fontId="8" numFmtId="0" xfId="0" applyAlignment="1" applyBorder="1" applyFont="1">
      <alignment horizontal="right" readingOrder="0" shrinkToFit="0" vertical="center" wrapText="0"/>
    </xf>
    <xf borderId="24" fillId="2" fontId="1" numFmtId="0" xfId="0" applyAlignment="1" applyBorder="1" applyFont="1">
      <alignment shrinkToFit="0" vertical="center" wrapText="0"/>
    </xf>
    <xf borderId="25" fillId="2" fontId="8" numFmtId="0" xfId="0" applyAlignment="1" applyBorder="1" applyFont="1">
      <alignment shrinkToFit="0" vertical="center" wrapText="0"/>
    </xf>
    <xf borderId="0" fillId="3" fontId="8" numFmtId="0" xfId="0" applyAlignment="1" applyFont="1">
      <alignment shrinkToFit="0" vertical="center" wrapText="0"/>
    </xf>
    <xf borderId="0" fillId="3" fontId="8" numFmtId="0" xfId="0" applyAlignment="1" applyFont="1">
      <alignment shrinkToFit="0" vertical="center" wrapText="0"/>
    </xf>
    <xf borderId="0" fillId="3" fontId="8" numFmtId="0" xfId="0" applyAlignment="1" applyFont="1">
      <alignment shrinkToFit="0" vertical="center" wrapText="0"/>
    </xf>
    <xf borderId="0" fillId="3" fontId="8" numFmtId="0" xfId="0" applyAlignment="1" applyFont="1">
      <alignment shrinkToFit="0" vertical="center" wrapText="0"/>
    </xf>
    <xf borderId="0" fillId="3" fontId="8" numFmtId="0" xfId="0" applyAlignment="1" applyFont="1">
      <alignment horizontal="right" readingOrder="0" shrinkToFit="0" vertical="center" wrapText="0"/>
    </xf>
    <xf borderId="0" fillId="3" fontId="1" numFmtId="0" xfId="0" applyAlignment="1" applyFont="1">
      <alignment shrinkToFit="0" vertical="center" wrapText="0"/>
    </xf>
    <xf borderId="15" fillId="2" fontId="11" numFmtId="0" xfId="0" applyAlignment="1" applyBorder="1" applyFont="1">
      <alignment shrinkToFit="0" vertical="center" wrapText="0"/>
    </xf>
    <xf borderId="16" fillId="2" fontId="15" numFmtId="0" xfId="0" applyAlignment="1" applyBorder="1" applyFont="1">
      <alignment shrinkToFit="0" vertical="center" wrapText="0"/>
    </xf>
    <xf borderId="16" fillId="2" fontId="16" numFmtId="0" xfId="0" applyAlignment="1" applyBorder="1" applyFont="1">
      <alignment readingOrder="0" shrinkToFit="0" vertical="center" wrapText="0"/>
    </xf>
    <xf borderId="9" fillId="3" fontId="11" numFmtId="0" xfId="0" applyAlignment="1" applyBorder="1" applyFont="1">
      <alignment shrinkToFit="0" vertical="center" wrapText="0"/>
    </xf>
    <xf borderId="10" fillId="3" fontId="15" numFmtId="0" xfId="0" applyAlignment="1" applyBorder="1" applyFont="1">
      <alignment shrinkToFit="0" vertical="center" wrapText="0"/>
    </xf>
    <xf borderId="10" fillId="3" fontId="16" numFmtId="0" xfId="0" applyAlignment="1" applyBorder="1" applyFont="1">
      <alignment readingOrder="0" shrinkToFit="0" vertical="center" wrapText="0"/>
    </xf>
    <xf borderId="6" fillId="2" fontId="11" numFmtId="0" xfId="0" applyAlignment="1" applyBorder="1" applyFont="1">
      <alignment shrinkToFit="0" vertical="center" wrapText="0"/>
    </xf>
    <xf borderId="7" fillId="2" fontId="15" numFmtId="0" xfId="0" applyAlignment="1" applyBorder="1" applyFont="1">
      <alignment shrinkToFit="0" vertical="center" wrapText="0"/>
    </xf>
    <xf borderId="7" fillId="2" fontId="16" numFmtId="0" xfId="0" applyAlignment="1" applyBorder="1" applyFont="1">
      <alignment readingOrder="0" shrinkToFit="0" vertical="center" wrapText="0"/>
    </xf>
    <xf borderId="7" fillId="2" fontId="17" numFmtId="0" xfId="0" applyAlignment="1" applyBorder="1" applyFont="1">
      <alignment shrinkToFit="0" vertical="center" wrapText="0"/>
    </xf>
    <xf borderId="7" fillId="2" fontId="18" numFmtId="0" xfId="0" applyAlignment="1" applyBorder="1" applyFont="1">
      <alignment readingOrder="0" shrinkToFit="0" vertical="center" wrapText="0"/>
    </xf>
    <xf borderId="10" fillId="3" fontId="17" numFmtId="0" xfId="0" applyAlignment="1" applyBorder="1" applyFont="1">
      <alignment shrinkToFit="0" vertical="center" wrapText="0"/>
    </xf>
    <xf borderId="10" fillId="3" fontId="18" numFmtId="0" xfId="0" applyAlignment="1" applyBorder="1" applyFont="1">
      <alignment readingOrder="0" shrinkToFit="0" vertical="center" wrapText="0"/>
    </xf>
    <xf borderId="10" fillId="3" fontId="19" numFmtId="0" xfId="0" applyAlignment="1" applyBorder="1" applyFont="1">
      <alignment readingOrder="0" shrinkToFit="0" vertical="center" wrapText="0"/>
    </xf>
    <xf borderId="7" fillId="2" fontId="19" numFmtId="0" xfId="0" applyAlignment="1" applyBorder="1" applyFont="1">
      <alignment readingOrder="0" shrinkToFit="0" vertical="center" wrapText="0"/>
    </xf>
    <xf borderId="7" fillId="2" fontId="20" numFmtId="0" xfId="0" applyAlignment="1" applyBorder="1" applyFont="1">
      <alignment readingOrder="0" shrinkToFit="0" vertical="center" wrapText="0"/>
    </xf>
    <xf borderId="10" fillId="3" fontId="20" numFmtId="0" xfId="0" applyAlignment="1" applyBorder="1" applyFont="1">
      <alignment readingOrder="0" shrinkToFit="0" vertical="center" wrapText="0"/>
    </xf>
    <xf borderId="7" fillId="2" fontId="21" numFmtId="0" xfId="0" applyAlignment="1" applyBorder="1" applyFont="1">
      <alignment shrinkToFit="0" vertical="center" wrapText="0"/>
    </xf>
    <xf borderId="10" fillId="3" fontId="21" numFmtId="0" xfId="0" applyAlignment="1" applyBorder="1" applyFont="1">
      <alignment shrinkToFit="0" vertical="center" wrapText="0"/>
    </xf>
    <xf borderId="4" fillId="2" fontId="11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2" fontId="21" numFmtId="0" xfId="0" applyAlignment="1" applyFont="1">
      <alignment readingOrder="0" shrinkToFit="0" vertical="center" wrapText="0"/>
    </xf>
    <xf borderId="7" fillId="2" fontId="22" numFmtId="0" xfId="0" applyAlignment="1" applyBorder="1" applyFont="1">
      <alignment readingOrder="0" shrinkToFit="0" vertical="center" wrapText="0"/>
    </xf>
    <xf borderId="0" fillId="2" fontId="8" numFmtId="0" xfId="0" applyAlignment="1" applyFont="1">
      <alignment horizontal="right" readingOrder="0" shrinkToFit="0" vertical="center" wrapText="0"/>
    </xf>
    <xf borderId="10" fillId="3" fontId="23" numFmtId="0" xfId="0" applyAlignment="1" applyBorder="1" applyFont="1">
      <alignment shrinkToFit="0" vertical="center" wrapText="0"/>
    </xf>
    <xf borderId="7" fillId="2" fontId="24" numFmtId="0" xfId="0" applyAlignment="1" applyBorder="1" applyFont="1">
      <alignment shrinkToFit="0" vertical="center" wrapText="0"/>
    </xf>
    <xf borderId="10" fillId="3" fontId="25" numFmtId="0" xfId="0" applyAlignment="1" applyBorder="1" applyFont="1">
      <alignment readingOrder="0" shrinkToFit="0" vertical="center" wrapText="0"/>
    </xf>
    <xf borderId="10" fillId="3" fontId="22" numFmtId="0" xfId="0" applyAlignment="1" applyBorder="1" applyFont="1">
      <alignment readingOrder="0" shrinkToFit="0" vertical="center" wrapText="0"/>
    </xf>
    <xf borderId="7" fillId="2" fontId="22" numFmtId="0" xfId="0" applyAlignment="1" applyBorder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10" fillId="3" fontId="22" numFmtId="0" xfId="0" applyAlignment="1" applyBorder="1" applyFont="1">
      <alignment shrinkToFit="0" vertical="center" wrapText="0"/>
    </xf>
    <xf borderId="13" fillId="2" fontId="22" numFmtId="0" xfId="0" applyAlignment="1" applyBorder="1" applyFont="1">
      <alignment readingOrder="0" shrinkToFit="0" vertical="center" wrapText="0"/>
    </xf>
    <xf borderId="0" fillId="2" fontId="11" numFmtId="0" xfId="0" applyAlignment="1" applyFont="1">
      <alignment readingOrder="0" shrinkToFit="0" vertical="center" wrapText="0"/>
    </xf>
    <xf borderId="0" fillId="3" fontId="22" numFmtId="0" xfId="0" applyAlignment="1" applyFont="1">
      <alignment readingOrder="0" shrinkToFit="0" vertical="center" wrapText="0"/>
    </xf>
    <xf borderId="0" fillId="2" fontId="11" numFmtId="0" xfId="0" applyAlignment="1" applyFont="1">
      <alignment readingOrder="0"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0" fillId="3" fontId="8" numFmtId="0" xfId="0" applyAlignment="1" applyFont="1">
      <alignment readingOrder="0" shrinkToFit="0" vertical="center" wrapText="0"/>
    </xf>
    <xf borderId="0" fillId="3" fontId="22" numFmtId="0" xfId="0" applyAlignment="1" applyFont="1">
      <alignment readingOrder="0" shrinkToFit="0" vertical="center" wrapText="0"/>
    </xf>
    <xf borderId="0" fillId="2" fontId="8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0" fillId="0" fontId="5" numFmtId="0" xfId="0" applyFont="1"/>
    <xf borderId="0" fillId="4" fontId="5" numFmtId="0" xfId="0" applyFill="1" applyFont="1"/>
    <xf borderId="26" fillId="4" fontId="26" numFmtId="0" xfId="0" applyAlignment="1" applyBorder="1" applyFont="1">
      <alignment vertical="bottom"/>
    </xf>
    <xf borderId="0" fillId="0" fontId="5" numFmtId="0" xfId="0" applyFont="1"/>
    <xf borderId="0" fillId="5" fontId="5" numFmtId="0" xfId="0" applyAlignment="1" applyFill="1" applyFont="1">
      <alignment readingOrder="0"/>
    </xf>
    <xf borderId="0" fillId="5" fontId="27" numFmtId="10" xfId="0" applyFont="1" applyNumberFormat="1"/>
    <xf borderId="27" fillId="6" fontId="28" numFmtId="0" xfId="0" applyAlignment="1" applyBorder="1" applyFill="1" applyFont="1">
      <alignment vertical="bottom"/>
    </xf>
    <xf borderId="27" fillId="0" fontId="28" numFmtId="0" xfId="0" applyAlignment="1" applyBorder="1" applyFont="1">
      <alignment vertical="bottom"/>
    </xf>
    <xf borderId="27" fillId="0" fontId="28" numFmtId="164" xfId="0" applyAlignment="1" applyBorder="1" applyFont="1" applyNumberFormat="1">
      <alignment horizontal="right" vertical="bottom"/>
    </xf>
    <xf borderId="27" fillId="0" fontId="28" numFmtId="164" xfId="0" applyAlignment="1" applyBorder="1" applyFont="1" applyNumberFormat="1">
      <alignment horizontal="right" readingOrder="0" vertical="bottom"/>
    </xf>
    <xf borderId="27" fillId="0" fontId="29" numFmtId="165" xfId="0" applyAlignment="1" applyBorder="1" applyFont="1" applyNumberFormat="1">
      <alignment readingOrder="0"/>
    </xf>
    <xf borderId="27" fillId="0" fontId="27" numFmtId="164" xfId="0" applyAlignment="1" applyBorder="1" applyFont="1" applyNumberFormat="1">
      <alignment readingOrder="0"/>
    </xf>
    <xf borderId="27" fillId="0" fontId="5" numFmtId="0" xfId="0" applyBorder="1" applyFont="1"/>
    <xf borderId="27" fillId="0" fontId="5" numFmtId="0" xfId="0" applyAlignment="1" applyBorder="1" applyFont="1">
      <alignment readingOrder="0"/>
    </xf>
    <xf borderId="27" fillId="2" fontId="5" numFmtId="0" xfId="0" applyBorder="1" applyFont="1"/>
    <xf borderId="28" fillId="6" fontId="30" numFmtId="0" xfId="0" applyAlignment="1" applyBorder="1" applyFont="1">
      <alignment vertical="bottom"/>
    </xf>
    <xf borderId="0" fillId="0" fontId="31" numFmtId="10" xfId="0" applyAlignment="1" applyFont="1" applyNumberFormat="1">
      <alignment horizontal="right" vertical="bottom"/>
    </xf>
    <xf borderId="0" fillId="0" fontId="31" numFmtId="9" xfId="0" applyAlignment="1" applyFont="1" applyNumberFormat="1">
      <alignment horizontal="right" vertical="bottom"/>
    </xf>
    <xf borderId="0" fillId="0" fontId="31" numFmtId="0" xfId="0" applyAlignment="1" applyFont="1">
      <alignment horizontal="right" vertical="bottom"/>
    </xf>
    <xf borderId="0" fillId="0" fontId="31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Liste des tâch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Detail_avancement-style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K133" sheet="Liste des tâches"/>
  </cacheSource>
  <cacheFields>
    <cacheField name="Catégorie" numFmtId="0">
      <sharedItems>
        <s v="API Auth, Module Cartes, Module Web"/>
        <s v="API Auth"/>
        <s v="Module Cartes"/>
        <s v="Module Web Backend"/>
        <s v="Module Web"/>
        <s v="Module Mobile"/>
      </sharedItems>
    </cacheField>
    <cacheField name="Module" numFmtId="0">
      <sharedItems>
        <s v="Setup"/>
        <s v="Inscription"/>
        <s v="Authentification"/>
        <s v="Sécurité"/>
        <s v="Modification"/>
        <s v="Documentation"/>
        <s v="Infrastructure"/>
        <s v="Backend"/>
        <s v="Test"/>
        <s v="Maintenance"/>
        <s v="Conception"/>
        <s v="Auth"/>
        <s v="Roles"/>
        <s v="Signalements"/>
        <s v="Managers"/>
        <s v="API"/>
        <s v="Performance"/>
        <s v="Profils"/>
        <s v="Carte Visiteur"/>
        <s v="Tableau Visiteur"/>
        <s v="Manager"/>
        <s v="Base de données"/>
        <s v="Module Mobile Setup"/>
        <s v="Module Mobile Auth"/>
        <s v="Module Mobile Carte"/>
        <s v="Module Mobile State &amp; Network"/>
        <s v="Module Mobile UI Navigation"/>
        <s v="Module Mobile Optimisation"/>
        <s v="Module Mobile Tests"/>
      </sharedItems>
    </cacheField>
    <cacheField name="Taches" numFmtId="0">
      <sharedItems>
        <s v="Intialiser le depot Git"/>
        <s v="Analyse besoins authentification"/>
        <s v="Configuration environnement Docker"/>
        <s v="Configuration Firebase projet"/>
        <s v="Configuration Base locale Docker"/>
        <s v="Tests connexion Firebase"/>
        <s v="Tests connexion Base locale"/>
        <s v="Design endpoint inscription"/>
        <s v="Validation email"/>
        <s v="Validation mot de passe"/>
        <s v="Hashage mot de passe"/>
        <s v="Création compte Firebase"/>
        <s v="Création compte Base locale"/>
        <s v="Gestion doublons"/>
        <s v="Tests unitaires inscription"/>
        <s v="Design endpoint login"/>
        <s v="Vérification credentials Firebase"/>
        <s v="Vérification credentials Base locale"/>
        <s v="Génération token JWT"/>
        <s v="Configuration durée vie token"/>
        <s v="Refresh token"/>
        <s v="Validation token middleware"/>
        <s v="Redesign user firestore et local"/>
        <s v="Compteur tentatives connexion"/>
        <s v="Paramétrage limite tentatives"/>
        <s v="Blocage compte automatique"/>
        <s v="Endpoint réinitialisation blocage"/>
        <s v="Log tentatives connexion"/>
        <s v="Sync data profil to firestore"/>
        <s v="Endpoint modification profil"/>
        <s v="Installation Swagger"/>
        <s v="Debug Swagger pour laravel PHP"/>
        <s v="Documentation endpoint inscription"/>
        <s v="Documentation endpoint login"/>
        <s v="Documentation endpoint modification"/>
        <s v="Exemples requêtes/réponses"/>
        <s v="Analyse des besoins cartographiques"/>
        <s v="Choix des sources cartographiques offline"/>
        <s v="Installation Docker serveur de cartes offline"/>
        <s v="Configuration stockage tuiles offline"/>
        <s v="Téléchargement données Antananarivo"/>
        <s v="Génération des tuiles cartographiques"/>
        <s v="Test accès API serveur de cartes"/>
        <s v="Création module Cartes Laravel"/>
        <s v="Configuration sécurité API Cartes"/>
        <s v="Création endpoints API Cartes"/>
        <s v="Endpoint métadonnées cartographiques"/>
        <s v="Endpoint gestion markers"/>
        <s v="Endpoint couches cartographiques"/>
        <s v="Intégration Leaflet côté API"/>
        <s v="Gestion cache réponses cartographiques"/>
        <s v="Tests unitaires API Cartes"/>
        <s v="Tests intégration serveur offline"/>
        <s v="Documentation technique Module Cartes"/>
        <s v="Guide déploiement cartes offline"/>
        <s v="Plan mise à jour données cartographiques"/>
        <s v="Conception base de données"/>
        <s v="Initialisation module API Laravel"/>
        <s v="Configuration PostgreSQL Docker"/>
        <s v="Intégration Sanctum (API only)"/>
        <s v="Connexion Firebase existante"/>
        <s v="Gestion des rôles utilisateurs"/>
        <s v="Compte Manager par défaut"/>
        <s v="Création entité Signalement"/>
        <s v="API création signalement utilisateur"/>
        <s v="Validation métier signalement"/>
        <s v="Listing géographique des signalements"/>
        <s v="Filtrage des signalements"/>
        <s v="Hover infos signalement"/>
        <s v="Statistiques globales visiteurs"/>
        <s v="Calcul avancement %"/>
        <s v="Modification statut signalement"/>
        <s v="Mise à jour infos signalement"/>
        <s v="Synchronisation Firebase"/>
        <s v="Envoi données vers Firebase"/>
        <s v="Bouton synchronisation API"/>
        <s v="Gestion utilisateurs bloqués"/>
        <s v="Logs actions managers"/>
        <s v="Normalisation réponses API"/>
        <s v="Index géographiques PostgreSQL"/>
        <s v="Tests unitaires signalements"/>
        <s v="Tests sécurité API"/>
        <s v="Documentation API Backend"/>
        <s v="Plan évolutivité backend"/>
        <s v="Middleware vérification profil JWT"/>
        <s v="Routes Visiteur Laravel"/>
        <s v="Routes Utilisateur Laravel"/>
        <s v="Routes Manager Laravel"/>
        <s v="Composant carte Leaflet React"/>
        <s v="Service API récupération signalements"/>
        <s v="Chargement markers React"/>
        <s v="Popup au survol React"/>
        <s v="Affichage date signalement"/>
        <s v="Affichage statut"/>
        <s v="Affichage surface m2"/>
        <s v="Affichage budget"/>
        <s v="Affichage entreprise"/>
        <s v="Composant tableau React"/>
        <s v="Compteur nombre signalements"/>
        <s v="Calcul total surface"/>
        <s v="Calcul pourcentage avancement"/>
        <s v="Calcul total budget"/>
        <s v="Interface gestion React"/>
        <s v="Bouton synchronisation"/>
        <s v="API récupération Firebase Laravel"/>
        <s v="API envoi Firebase Laravel"/>
        <s v="Service sync Firebase React"/>
        <s v="Formulaire surface m2 React"/>
        <s v="Formulaire budget React"/>
        <s v="Sélection entreprise React"/>
        <s v="Modification statut React"/>
        <s v="API sauvegarde Laravel avec JWT"/>
        <s v="Conception MCD complet"/>
        <s v="Migrations Laravel signalements"/>
        <s v="Migrations Laravel statuts"/>
        <s v="Models Eloquent Laravel"/>
        <s v="Relations Eloquent"/>
        <s v="Configurer le projet Ionic"/>
        <s v="Configurer Capacitor"/>
        <s v="Installer Leaflet pour mobile"/>
        <s v="Implémenter la connexion Firebase"/>
        <s v="Créer le service de carte MapService"/>
        <s v="Créer le composant carte principal MapComponent"/>
        <s v="Configurer les tuiles OpenStreetMap TileLayerConfig"/>
        <s v="Implémenter les contrôles de carte MapControls"/>
        <s v="Créer le gestionnaire d'état carte MapStateManager"/>
        <s v="Implémenter la détection de connexion NetworkDetector"/>
        <s v="Créer le composant de navigation MapNavigationComponent"/>
        <s v="Implémenter la gestion des erreurs MapErrorHandler"/>
        <s v="Optimiser les performances MapPerformanceOptimizer"/>
        <s v="Créer les tests unitaires MapComponent.spec"/>
        <s v="Intégrer avec l'interface mobile MapPage"/>
      </sharedItems>
    </cacheField>
    <cacheField name="Type" numFmtId="0">
      <sharedItems>
        <s v="Infrastructure"/>
        <s v="Analyse"/>
        <s v="Tests"/>
        <s v="Backend"/>
        <s v="Documentation"/>
        <s v="Développement"/>
        <s v="Optimisation"/>
        <s v="Maintenance"/>
        <s v="Logique Métier"/>
        <s v="Sécurité"/>
        <s v="Test"/>
        <s v="Frontend"/>
        <s v="Database"/>
      </sharedItems>
    </cacheField>
    <cacheField name="Qui" numFmtId="0">
      <sharedItems>
        <s v="ETU003216"/>
        <s v="ETU003122"/>
        <s v="ETU003113"/>
        <s v="ETU003149"/>
      </sharedItems>
    </cacheField>
    <cacheField name="Estimation" numFmtId="0">
      <sharedItems containsSemiMixedTypes="0" containsString="0" containsNumber="1" containsInteger="1">
        <n v="15.0"/>
        <n v="20.0"/>
        <n v="10.0"/>
        <n v="25.0"/>
        <n v="5.0"/>
        <n v="2.0"/>
        <n v="40.0"/>
        <n v="30.0"/>
        <n v="60.0"/>
      </sharedItems>
    </cacheField>
    <cacheField name="Temps passé" numFmtId="0">
      <sharedItems containsSemiMixedTypes="0" containsString="0" containsNumber="1" containsInteger="1">
        <n v="15.0"/>
        <n v="20.0"/>
        <n v="10.0"/>
        <n v="25.0"/>
        <n v="5.0"/>
        <n v="2.0"/>
        <n v="40.0"/>
        <n v="30.0"/>
        <n v="37.0"/>
        <n v="60.0"/>
        <n v="45.0"/>
        <n v="35.0"/>
        <n v="50.0"/>
        <n v="23.0"/>
        <n v="27.0"/>
        <n v="11.0"/>
        <n v="19.0"/>
      </sharedItems>
    </cacheField>
    <cacheField name="Reste à faire" numFmtId="0">
      <sharedItems containsSemiMixedTypes="0" containsString="0" containsNumber="1" containsInteger="1">
        <n v="0.0"/>
        <n v="-5.0"/>
        <n v="-7.0"/>
        <n v="-15.0"/>
        <n v="-30.0"/>
        <n v="-40.0"/>
        <n v="20.0"/>
        <n v="-10.0"/>
        <n v="-3.0"/>
        <n v="-2.0"/>
        <n v="-1.0"/>
        <n v="-4.0"/>
        <n v="5.0"/>
      </sharedItems>
    </cacheField>
    <cacheField name="Avancement" numFmtId="10">
      <sharedItems containsSemiMixedTypes="0" containsString="0" containsNumber="1">
        <n v="1.0"/>
        <n v="1.25"/>
        <n v="1.2333333333333334"/>
        <n v="1.5"/>
        <n v="1.75"/>
        <n v="2.5"/>
        <n v="3.0"/>
        <n v="0.3333333333333333"/>
        <n v="1.3333333333333333"/>
        <n v="1.15"/>
        <n v="1.08"/>
        <n v="1.1"/>
        <n v="1.6666666666666667"/>
        <n v="1.2666666666666666"/>
        <n v="0.6666666666666666"/>
        <n v="1.1666666666666667"/>
        <n v="1.35"/>
        <n v="0.8333333333333334"/>
      </sharedItems>
    </cacheField>
    <cacheField name="Détails (optionnel)" numFmtId="0">
      <sharedItems containsBlank="1">
        <m/>
        <s v="Modélisation des tables PostgreSQL : users, roles, signalements, entreprises, statuts, historiques, relations géographiques (lat/lng), contraintes et index"/>
        <s v="Structuration du module backend (Controllers, Services, Repositories, Policies)"/>
        <s v="Configuration du conteneur PostgreSQL, volumes persistants, variables d’environnement Laravel"/>
        <s v="Utilisation de Sanctum pour sécuriser les routes API selon les rôles (visitor, user, manager)"/>
        <s v="Utilisation des tokens Firebase pour l’authentification déjà implémentée"/>
        <s v="Implémentation des rôles Visiteur, Utilisateur, Manager via policies et middleware"/>
        <s v="Création automatique d’un compte manager lors du déploiement (seeder)"/>
        <s v="Modèle Signalement : position GPS, statut, date, surface (m²), budget, entreprise, description"/>
        <s v="Endpoint REST pour créer un signalement (utilisateur authentifié)"/>
        <s v="Vérification coordonnées GPS, valeurs surface/budget, statut initial = nouveau"/>
        <s v="Endpoint retournant tous les points GPS pour affichage Leaflet (GeoJSON ou JSON optimisé)"/>
        <s v="Filtrer par statut, date, zone géographique, entreprise"/>
        <s v="API fournissant les infos détaillées (date, statut, surface, budget, entreprise)"/>
        <s v="Calcul dynamique : nombre de points, surface totale, avancement %, budget total"/>
        <s v="Avancement basé sur statuts (nouveau=0, en cours=50, terminé=100)"/>
        <s v="Endpoint sécurisé pour modifier le statut d’un signalement (manager uniquement)"/>
        <s v="Gestion surface, budget, entreprise associée par manager"/>
        <s v="Récupération des signalements en ligne depuis Firebase"/>
        <s v="Publication des données nécessaires pour affichage mobile (format optimisé)"/>
        <s v="Endpoint déclenchant la synchronisation Firebase manuellement"/>
        <s v="Page API pour lister, débloquer ou suspendre des utilisateurs"/>
        <s v="Journalisation des actions critiques (statuts, budgets, synchronisation)"/>
        <s v="Format JSON standard (status, data, errors)"/>
        <s v="Index sur latitude/longitude pour requêtes rapides"/>
        <s v="Tests des règles métier et des calculs statistiques"/>
        <s v="Vérification accès visiteurs/utilisateurs/managers"/>
        <s v="Endpoints, rôles, flux Firebase, logique métier"/>
        <s v="Prévoir extension vers notifications, historique détaillé, analytic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cap" cacheId="0" dataCaption="" compact="0" compactData="0">
  <location ref="A1:D6" firstHeaderRow="0" firstDataRow="2" firstDataCol="0"/>
  <pivotFields>
    <pivotField name="Catégori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du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ach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Qui" axis="axisRow" compact="0" outline="0" multipleItemSelectionAllowed="1" showAll="0" sortType="ascending">
      <items>
        <item x="2"/>
        <item x="1"/>
        <item x="3"/>
        <item x="0"/>
        <item t="default"/>
      </items>
    </pivotField>
    <pivotField name="Estima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emps passé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Reste à fai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Avanceme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étails (optionnel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</pivotFields>
  <rowFields>
    <field x="4"/>
  </rowFields>
  <colFields>
    <field x="-2"/>
  </colFields>
  <dataFields>
    <dataField name="SUM of Estimation" fld="5" baseField="0"/>
    <dataField name="SUM of Temps passé" fld="6" baseField="0"/>
    <dataField name="SUM of Reste à faire" fld="7" baseField="0"/>
  </dataFields>
</pivotTableDefinition>
</file>

<file path=xl/tables/table1.xml><?xml version="1.0" encoding="utf-8"?>
<table xmlns="http://schemas.openxmlformats.org/spreadsheetml/2006/main" ref="B1:K146" displayName="Tableau1" name="Tableau1" id="1">
  <tableColumns count="10">
    <tableColumn name="Catégorie" id="1"/>
    <tableColumn name="Module" id="2"/>
    <tableColumn name="Taches" id="3"/>
    <tableColumn name="Type" id="4"/>
    <tableColumn name="Qui" id="5"/>
    <tableColumn name="Estimation" id="6"/>
    <tableColumn name="Temps passé" id="7"/>
    <tableColumn name="Reste à faire" id="8"/>
    <tableColumn name="Avancement" id="9"/>
    <tableColumn name="Détails (optionnel)" id="10"/>
  </tableColumns>
  <tableStyleInfo name="Liste des tâches-style" showColumnStripes="0" showFirstColumn="1" showLastColumn="1" showRowStripes="1"/>
</table>
</file>

<file path=xl/tables/table2.xml><?xml version="1.0" encoding="utf-8"?>
<table xmlns="http://schemas.openxmlformats.org/spreadsheetml/2006/main" headerRowCount="0" ref="D17:D37" displayName="Table_1" name="Table_1" id="2">
  <tableColumns count="1">
    <tableColumn name="Column1" id="1"/>
  </tableColumns>
  <tableStyleInfo name="Detail_avancem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7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25.63"/>
    <col customWidth="1" min="3" max="3" width="47.38"/>
    <col customWidth="1" min="4" max="4" width="47.5"/>
    <col customWidth="1" min="5" max="5" width="14.75"/>
    <col customWidth="1" min="6" max="6" width="18.13"/>
    <col customWidth="1" min="7" max="7" width="17.0"/>
    <col customWidth="1" min="8" max="10" width="16.38"/>
    <col customWidth="1" min="11" max="11" width="113.75"/>
  </cols>
  <sheetData>
    <row r="1" ht="30.0" customHeight="1">
      <c r="A1" s="2" t="s">
        <v>8</v>
      </c>
      <c r="B1" s="3" t="s">
        <v>9</v>
      </c>
      <c r="C1" s="3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5" t="s">
        <v>18</v>
      </c>
    </row>
    <row r="2" ht="30.0" customHeight="1">
      <c r="A2" s="6">
        <v>1.0</v>
      </c>
      <c r="B2" s="7" t="s">
        <v>19</v>
      </c>
      <c r="C2" s="8" t="s">
        <v>20</v>
      </c>
      <c r="D2" s="9" t="s">
        <v>21</v>
      </c>
      <c r="E2" s="10" t="s">
        <v>22</v>
      </c>
      <c r="F2" s="10" t="s">
        <v>6</v>
      </c>
      <c r="G2" s="11">
        <v>15.0</v>
      </c>
      <c r="H2" s="12">
        <f>Detail_avancement!B2</f>
        <v>15</v>
      </c>
      <c r="I2" s="13">
        <f t="shared" ref="I2:I32" si="1">G2-H2</f>
        <v>0</v>
      </c>
      <c r="J2" s="14">
        <f t="shared" ref="J2:J146" si="2">(H2/(H2+I2))</f>
        <v>1</v>
      </c>
      <c r="K2" s="15"/>
    </row>
    <row r="3" ht="30.0" customHeight="1">
      <c r="A3" s="6">
        <v>2.0</v>
      </c>
      <c r="B3" s="16" t="s">
        <v>23</v>
      </c>
      <c r="C3" s="17" t="s">
        <v>20</v>
      </c>
      <c r="D3" s="18" t="s">
        <v>24</v>
      </c>
      <c r="E3" s="17" t="s">
        <v>25</v>
      </c>
      <c r="F3" s="19" t="s">
        <v>2</v>
      </c>
      <c r="G3" s="20">
        <v>15.0</v>
      </c>
      <c r="H3" s="12">
        <f>Detail_avancement!B3</f>
        <v>15</v>
      </c>
      <c r="I3" s="21">
        <f t="shared" si="1"/>
        <v>0</v>
      </c>
      <c r="J3" s="14">
        <f t="shared" si="2"/>
        <v>1</v>
      </c>
      <c r="K3" s="22"/>
    </row>
    <row r="4" ht="30.0" customHeight="1">
      <c r="A4" s="6">
        <v>3.0</v>
      </c>
      <c r="B4" s="23" t="s">
        <v>23</v>
      </c>
      <c r="C4" s="17" t="s">
        <v>20</v>
      </c>
      <c r="D4" s="18" t="s">
        <v>26</v>
      </c>
      <c r="E4" s="17" t="s">
        <v>22</v>
      </c>
      <c r="F4" s="19" t="s">
        <v>2</v>
      </c>
      <c r="G4" s="20">
        <v>20.0</v>
      </c>
      <c r="H4" s="12">
        <f>Detail_avancement!B4</f>
        <v>20</v>
      </c>
      <c r="I4" s="21">
        <f t="shared" si="1"/>
        <v>0</v>
      </c>
      <c r="J4" s="14">
        <f t="shared" si="2"/>
        <v>1</v>
      </c>
      <c r="K4" s="22"/>
    </row>
    <row r="5" ht="30.0" customHeight="1">
      <c r="A5" s="6">
        <v>4.0</v>
      </c>
      <c r="B5" s="23" t="s">
        <v>23</v>
      </c>
      <c r="C5" s="17" t="s">
        <v>20</v>
      </c>
      <c r="D5" s="18" t="s">
        <v>27</v>
      </c>
      <c r="E5" s="17" t="s">
        <v>22</v>
      </c>
      <c r="F5" s="19" t="s">
        <v>2</v>
      </c>
      <c r="G5" s="20">
        <v>15.0</v>
      </c>
      <c r="H5" s="12">
        <f>Detail_avancement!B5</f>
        <v>15</v>
      </c>
      <c r="I5" s="21">
        <f t="shared" si="1"/>
        <v>0</v>
      </c>
      <c r="J5" s="14">
        <f t="shared" si="2"/>
        <v>1</v>
      </c>
      <c r="K5" s="22"/>
    </row>
    <row r="6" ht="30.0" customHeight="1">
      <c r="A6" s="6">
        <v>5.0</v>
      </c>
      <c r="B6" s="23" t="s">
        <v>23</v>
      </c>
      <c r="C6" s="17" t="s">
        <v>20</v>
      </c>
      <c r="D6" s="18" t="s">
        <v>28</v>
      </c>
      <c r="E6" s="17" t="s">
        <v>22</v>
      </c>
      <c r="F6" s="19" t="s">
        <v>2</v>
      </c>
      <c r="G6" s="20">
        <v>15.0</v>
      </c>
      <c r="H6" s="12">
        <f>Detail_avancement!B6</f>
        <v>15</v>
      </c>
      <c r="I6" s="21">
        <f t="shared" si="1"/>
        <v>0</v>
      </c>
      <c r="J6" s="14">
        <f t="shared" si="2"/>
        <v>1</v>
      </c>
      <c r="K6" s="22"/>
    </row>
    <row r="7" ht="30.0" customHeight="1">
      <c r="A7" s="6">
        <v>6.0</v>
      </c>
      <c r="B7" s="23" t="s">
        <v>23</v>
      </c>
      <c r="C7" s="17" t="s">
        <v>20</v>
      </c>
      <c r="D7" s="18" t="s">
        <v>29</v>
      </c>
      <c r="E7" s="17" t="s">
        <v>30</v>
      </c>
      <c r="F7" s="19" t="s">
        <v>2</v>
      </c>
      <c r="G7" s="20">
        <v>10.0</v>
      </c>
      <c r="H7" s="12">
        <f>Detail_avancement!B7</f>
        <v>10</v>
      </c>
      <c r="I7" s="21">
        <f t="shared" si="1"/>
        <v>0</v>
      </c>
      <c r="J7" s="14">
        <f t="shared" si="2"/>
        <v>1</v>
      </c>
      <c r="K7" s="22"/>
    </row>
    <row r="8" ht="30.0" customHeight="1">
      <c r="A8" s="6">
        <v>7.0</v>
      </c>
      <c r="B8" s="23" t="s">
        <v>23</v>
      </c>
      <c r="C8" s="17" t="s">
        <v>20</v>
      </c>
      <c r="D8" s="18" t="s">
        <v>31</v>
      </c>
      <c r="E8" s="17" t="s">
        <v>30</v>
      </c>
      <c r="F8" s="19" t="s">
        <v>2</v>
      </c>
      <c r="G8" s="20">
        <v>10.0</v>
      </c>
      <c r="H8" s="12">
        <f>Detail_avancement!B8</f>
        <v>10</v>
      </c>
      <c r="I8" s="21">
        <f t="shared" si="1"/>
        <v>0</v>
      </c>
      <c r="J8" s="14">
        <f t="shared" si="2"/>
        <v>1</v>
      </c>
      <c r="K8" s="22"/>
    </row>
    <row r="9" ht="30.0" customHeight="1">
      <c r="A9" s="6">
        <v>8.0</v>
      </c>
      <c r="B9" s="23" t="s">
        <v>23</v>
      </c>
      <c r="C9" s="17" t="s">
        <v>32</v>
      </c>
      <c r="D9" s="18" t="s">
        <v>33</v>
      </c>
      <c r="E9" s="17" t="s">
        <v>34</v>
      </c>
      <c r="F9" s="19" t="s">
        <v>0</v>
      </c>
      <c r="G9" s="20">
        <v>20.0</v>
      </c>
      <c r="H9" s="12">
        <f>Detail_avancement!B9</f>
        <v>20</v>
      </c>
      <c r="I9" s="21">
        <f t="shared" si="1"/>
        <v>0</v>
      </c>
      <c r="J9" s="14">
        <f t="shared" si="2"/>
        <v>1</v>
      </c>
      <c r="K9" s="22"/>
    </row>
    <row r="10" ht="30.0" customHeight="1">
      <c r="A10" s="6">
        <v>9.0</v>
      </c>
      <c r="B10" s="23" t="s">
        <v>23</v>
      </c>
      <c r="C10" s="17" t="s">
        <v>32</v>
      </c>
      <c r="D10" s="18" t="s">
        <v>35</v>
      </c>
      <c r="E10" s="17" t="s">
        <v>34</v>
      </c>
      <c r="F10" s="19" t="s">
        <v>0</v>
      </c>
      <c r="G10" s="20">
        <v>15.0</v>
      </c>
      <c r="H10" s="12">
        <f>Detail_avancement!B10</f>
        <v>15</v>
      </c>
      <c r="I10" s="21">
        <f t="shared" si="1"/>
        <v>0</v>
      </c>
      <c r="J10" s="14">
        <f t="shared" si="2"/>
        <v>1</v>
      </c>
      <c r="K10" s="22"/>
    </row>
    <row r="11" ht="30.0" customHeight="1">
      <c r="A11" s="6">
        <v>10.0</v>
      </c>
      <c r="B11" s="23" t="s">
        <v>23</v>
      </c>
      <c r="C11" s="17" t="s">
        <v>32</v>
      </c>
      <c r="D11" s="18" t="s">
        <v>36</v>
      </c>
      <c r="E11" s="17" t="s">
        <v>34</v>
      </c>
      <c r="F11" s="19" t="s">
        <v>0</v>
      </c>
      <c r="G11" s="20">
        <v>15.0</v>
      </c>
      <c r="H11" s="12">
        <f>Detail_avancement!B11</f>
        <v>15</v>
      </c>
      <c r="I11" s="21">
        <f t="shared" si="1"/>
        <v>0</v>
      </c>
      <c r="J11" s="14">
        <f t="shared" si="2"/>
        <v>1</v>
      </c>
      <c r="K11" s="22"/>
    </row>
    <row r="12" ht="30.0" customHeight="1">
      <c r="A12" s="6">
        <v>11.0</v>
      </c>
      <c r="B12" s="23" t="s">
        <v>23</v>
      </c>
      <c r="C12" s="17" t="s">
        <v>32</v>
      </c>
      <c r="D12" s="18" t="s">
        <v>37</v>
      </c>
      <c r="E12" s="17" t="s">
        <v>34</v>
      </c>
      <c r="F12" s="19" t="s">
        <v>0</v>
      </c>
      <c r="G12" s="20">
        <v>20.0</v>
      </c>
      <c r="H12" s="12">
        <f>Detail_avancement!B12</f>
        <v>20</v>
      </c>
      <c r="I12" s="21">
        <f t="shared" si="1"/>
        <v>0</v>
      </c>
      <c r="J12" s="14">
        <f t="shared" si="2"/>
        <v>1</v>
      </c>
      <c r="K12" s="22"/>
    </row>
    <row r="13" ht="30.0" customHeight="1">
      <c r="A13" s="6">
        <v>12.0</v>
      </c>
      <c r="B13" s="23" t="s">
        <v>23</v>
      </c>
      <c r="C13" s="17" t="s">
        <v>32</v>
      </c>
      <c r="D13" s="18" t="s">
        <v>38</v>
      </c>
      <c r="E13" s="17" t="s">
        <v>34</v>
      </c>
      <c r="F13" s="19" t="s">
        <v>0</v>
      </c>
      <c r="G13" s="20">
        <v>25.0</v>
      </c>
      <c r="H13" s="12">
        <f>Detail_avancement!B13</f>
        <v>25</v>
      </c>
      <c r="I13" s="21">
        <f t="shared" si="1"/>
        <v>0</v>
      </c>
      <c r="J13" s="14">
        <f t="shared" si="2"/>
        <v>1</v>
      </c>
      <c r="K13" s="22"/>
    </row>
    <row r="14" ht="30.0" customHeight="1">
      <c r="A14" s="6">
        <v>13.0</v>
      </c>
      <c r="B14" s="23" t="s">
        <v>23</v>
      </c>
      <c r="C14" s="17" t="s">
        <v>32</v>
      </c>
      <c r="D14" s="18" t="s">
        <v>39</v>
      </c>
      <c r="E14" s="17" t="s">
        <v>34</v>
      </c>
      <c r="F14" s="19" t="s">
        <v>0</v>
      </c>
      <c r="G14" s="20">
        <v>20.0</v>
      </c>
      <c r="H14" s="12">
        <f>Detail_avancement!B14</f>
        <v>20</v>
      </c>
      <c r="I14" s="21">
        <f t="shared" si="1"/>
        <v>0</v>
      </c>
      <c r="J14" s="14">
        <f t="shared" si="2"/>
        <v>1</v>
      </c>
      <c r="K14" s="22"/>
    </row>
    <row r="15" ht="30.0" customHeight="1">
      <c r="A15" s="6">
        <v>14.0</v>
      </c>
      <c r="B15" s="23" t="s">
        <v>23</v>
      </c>
      <c r="C15" s="17" t="s">
        <v>32</v>
      </c>
      <c r="D15" s="18" t="s">
        <v>40</v>
      </c>
      <c r="E15" s="17" t="s">
        <v>34</v>
      </c>
      <c r="F15" s="19" t="s">
        <v>0</v>
      </c>
      <c r="G15" s="20">
        <v>15.0</v>
      </c>
      <c r="H15" s="12">
        <f>Detail_avancement!B15</f>
        <v>15</v>
      </c>
      <c r="I15" s="21">
        <f t="shared" si="1"/>
        <v>0</v>
      </c>
      <c r="J15" s="14">
        <f t="shared" si="2"/>
        <v>1</v>
      </c>
      <c r="K15" s="22"/>
    </row>
    <row r="16" ht="30.0" customHeight="1">
      <c r="A16" s="6">
        <v>15.0</v>
      </c>
      <c r="B16" s="23" t="s">
        <v>23</v>
      </c>
      <c r="C16" s="17" t="s">
        <v>32</v>
      </c>
      <c r="D16" s="18" t="s">
        <v>41</v>
      </c>
      <c r="E16" s="17" t="s">
        <v>30</v>
      </c>
      <c r="F16" s="19" t="s">
        <v>0</v>
      </c>
      <c r="G16" s="20">
        <v>20.0</v>
      </c>
      <c r="H16" s="12">
        <f>Detail_avancement!B16</f>
        <v>20</v>
      </c>
      <c r="I16" s="21">
        <f t="shared" si="1"/>
        <v>0</v>
      </c>
      <c r="J16" s="14">
        <f t="shared" si="2"/>
        <v>1</v>
      </c>
      <c r="K16" s="22"/>
    </row>
    <row r="17" ht="30.0" customHeight="1">
      <c r="A17" s="6">
        <v>16.0</v>
      </c>
      <c r="B17" s="23" t="s">
        <v>23</v>
      </c>
      <c r="C17" s="17" t="s">
        <v>42</v>
      </c>
      <c r="D17" s="18" t="s">
        <v>43</v>
      </c>
      <c r="E17" s="17" t="s">
        <v>34</v>
      </c>
      <c r="F17" s="19" t="s">
        <v>6</v>
      </c>
      <c r="G17" s="20">
        <v>20.0</v>
      </c>
      <c r="H17" s="12">
        <f>Detail_avancement!B17</f>
        <v>20</v>
      </c>
      <c r="I17" s="21">
        <f t="shared" si="1"/>
        <v>0</v>
      </c>
      <c r="J17" s="14">
        <f t="shared" si="2"/>
        <v>1</v>
      </c>
      <c r="K17" s="22"/>
    </row>
    <row r="18" ht="30.0" customHeight="1">
      <c r="A18" s="6">
        <v>17.0</v>
      </c>
      <c r="B18" s="23" t="s">
        <v>23</v>
      </c>
      <c r="C18" s="17" t="s">
        <v>42</v>
      </c>
      <c r="D18" s="18" t="s">
        <v>44</v>
      </c>
      <c r="E18" s="17" t="s">
        <v>34</v>
      </c>
      <c r="F18" s="19" t="s">
        <v>6</v>
      </c>
      <c r="G18" s="20">
        <v>25.0</v>
      </c>
      <c r="H18" s="12">
        <f>Detail_avancement!B18</f>
        <v>25</v>
      </c>
      <c r="I18" s="21">
        <f t="shared" si="1"/>
        <v>0</v>
      </c>
      <c r="J18" s="14">
        <f t="shared" si="2"/>
        <v>1</v>
      </c>
      <c r="K18" s="22"/>
    </row>
    <row r="19" ht="30.0" customHeight="1">
      <c r="A19" s="6">
        <v>18.0</v>
      </c>
      <c r="B19" s="23" t="s">
        <v>23</v>
      </c>
      <c r="C19" s="17" t="s">
        <v>42</v>
      </c>
      <c r="D19" s="18" t="s">
        <v>45</v>
      </c>
      <c r="E19" s="17" t="s">
        <v>34</v>
      </c>
      <c r="F19" s="19" t="s">
        <v>6</v>
      </c>
      <c r="G19" s="20">
        <v>20.0</v>
      </c>
      <c r="H19" s="12">
        <f>Detail_avancement!B19</f>
        <v>20</v>
      </c>
      <c r="I19" s="21">
        <f t="shared" si="1"/>
        <v>0</v>
      </c>
      <c r="J19" s="14">
        <f t="shared" si="2"/>
        <v>1</v>
      </c>
      <c r="K19" s="22"/>
    </row>
    <row r="20" ht="30.0" customHeight="1">
      <c r="A20" s="6">
        <v>19.0</v>
      </c>
      <c r="B20" s="23" t="s">
        <v>23</v>
      </c>
      <c r="C20" s="17" t="s">
        <v>42</v>
      </c>
      <c r="D20" s="18" t="s">
        <v>46</v>
      </c>
      <c r="E20" s="17" t="s">
        <v>34</v>
      </c>
      <c r="F20" s="19" t="s">
        <v>6</v>
      </c>
      <c r="G20" s="24">
        <v>20.0</v>
      </c>
      <c r="H20" s="12">
        <f>Detail_avancement!B20</f>
        <v>25</v>
      </c>
      <c r="I20" s="21">
        <f t="shared" si="1"/>
        <v>-5</v>
      </c>
      <c r="J20" s="14">
        <f t="shared" si="2"/>
        <v>1.25</v>
      </c>
      <c r="K20" s="22"/>
    </row>
    <row r="21" ht="30.0" customHeight="1">
      <c r="A21" s="6">
        <v>20.0</v>
      </c>
      <c r="B21" s="23" t="s">
        <v>23</v>
      </c>
      <c r="C21" s="17" t="s">
        <v>42</v>
      </c>
      <c r="D21" s="18" t="s">
        <v>47</v>
      </c>
      <c r="E21" s="17" t="s">
        <v>34</v>
      </c>
      <c r="F21" s="19" t="s">
        <v>6</v>
      </c>
      <c r="G21" s="20">
        <v>15.0</v>
      </c>
      <c r="H21" s="12">
        <f>Detail_avancement!B21</f>
        <v>15</v>
      </c>
      <c r="I21" s="21">
        <f t="shared" si="1"/>
        <v>0</v>
      </c>
      <c r="J21" s="14">
        <f t="shared" si="2"/>
        <v>1</v>
      </c>
      <c r="K21" s="22"/>
    </row>
    <row r="22" ht="30.0" customHeight="1">
      <c r="A22" s="6">
        <v>21.0</v>
      </c>
      <c r="B22" s="23" t="s">
        <v>23</v>
      </c>
      <c r="C22" s="17" t="s">
        <v>42</v>
      </c>
      <c r="D22" s="18" t="s">
        <v>48</v>
      </c>
      <c r="E22" s="17" t="s">
        <v>34</v>
      </c>
      <c r="F22" s="19" t="s">
        <v>6</v>
      </c>
      <c r="G22" s="20">
        <v>20.0</v>
      </c>
      <c r="H22" s="12">
        <f>Detail_avancement!B22</f>
        <v>20</v>
      </c>
      <c r="I22" s="21">
        <f t="shared" si="1"/>
        <v>0</v>
      </c>
      <c r="J22" s="14">
        <f t="shared" si="2"/>
        <v>1</v>
      </c>
      <c r="K22" s="22"/>
    </row>
    <row r="23" ht="30.0" customHeight="1">
      <c r="A23" s="6">
        <v>22.0</v>
      </c>
      <c r="B23" s="23" t="s">
        <v>23</v>
      </c>
      <c r="C23" s="17" t="s">
        <v>42</v>
      </c>
      <c r="D23" s="18" t="s">
        <v>49</v>
      </c>
      <c r="E23" s="17" t="s">
        <v>34</v>
      </c>
      <c r="F23" s="19" t="s">
        <v>6</v>
      </c>
      <c r="G23" s="24">
        <v>20.0</v>
      </c>
      <c r="H23" s="12">
        <f>Detail_avancement!B23</f>
        <v>25</v>
      </c>
      <c r="I23" s="21">
        <f t="shared" si="1"/>
        <v>-5</v>
      </c>
      <c r="J23" s="14">
        <f t="shared" si="2"/>
        <v>1.25</v>
      </c>
      <c r="K23" s="22"/>
    </row>
    <row r="24" ht="30.0" customHeight="1">
      <c r="A24" s="6">
        <v>23.0</v>
      </c>
      <c r="B24" s="25" t="s">
        <v>23</v>
      </c>
      <c r="C24" s="26" t="s">
        <v>42</v>
      </c>
      <c r="D24" s="27" t="s">
        <v>50</v>
      </c>
      <c r="E24" s="19" t="s">
        <v>34</v>
      </c>
      <c r="F24" s="19" t="s">
        <v>6</v>
      </c>
      <c r="G24" s="24">
        <v>20.0</v>
      </c>
      <c r="H24" s="12">
        <f>Detail_avancement!B24</f>
        <v>20</v>
      </c>
      <c r="I24" s="21">
        <f t="shared" si="1"/>
        <v>0</v>
      </c>
      <c r="J24" s="14">
        <f t="shared" si="2"/>
        <v>1</v>
      </c>
      <c r="K24" s="22"/>
    </row>
    <row r="25" ht="30.0" customHeight="1">
      <c r="A25" s="6">
        <v>24.0</v>
      </c>
      <c r="B25" s="23" t="s">
        <v>23</v>
      </c>
      <c r="C25" s="17" t="s">
        <v>51</v>
      </c>
      <c r="D25" s="18" t="s">
        <v>52</v>
      </c>
      <c r="E25" s="17" t="s">
        <v>34</v>
      </c>
      <c r="F25" s="19" t="s">
        <v>6</v>
      </c>
      <c r="G25" s="24">
        <v>10.0</v>
      </c>
      <c r="H25" s="12">
        <f>Detail_avancement!B25</f>
        <v>10</v>
      </c>
      <c r="I25" s="21">
        <f t="shared" si="1"/>
        <v>0</v>
      </c>
      <c r="J25" s="14">
        <f t="shared" si="2"/>
        <v>1</v>
      </c>
      <c r="K25" s="22"/>
    </row>
    <row r="26" ht="30.0" customHeight="1">
      <c r="A26" s="6">
        <v>25.0</v>
      </c>
      <c r="B26" s="23" t="s">
        <v>23</v>
      </c>
      <c r="C26" s="17" t="s">
        <v>51</v>
      </c>
      <c r="D26" s="18" t="s">
        <v>53</v>
      </c>
      <c r="E26" s="17" t="s">
        <v>34</v>
      </c>
      <c r="F26" s="19" t="s">
        <v>6</v>
      </c>
      <c r="G26" s="24">
        <v>5.0</v>
      </c>
      <c r="H26" s="12">
        <f>Detail_avancement!B26</f>
        <v>5</v>
      </c>
      <c r="I26" s="21">
        <f t="shared" si="1"/>
        <v>0</v>
      </c>
      <c r="J26" s="14">
        <f t="shared" si="2"/>
        <v>1</v>
      </c>
      <c r="K26" s="22"/>
    </row>
    <row r="27" ht="30.0" customHeight="1">
      <c r="A27" s="6">
        <v>26.0</v>
      </c>
      <c r="B27" s="23" t="s">
        <v>23</v>
      </c>
      <c r="C27" s="17" t="s">
        <v>51</v>
      </c>
      <c r="D27" s="18" t="s">
        <v>54</v>
      </c>
      <c r="E27" s="17" t="s">
        <v>34</v>
      </c>
      <c r="F27" s="19" t="s">
        <v>6</v>
      </c>
      <c r="G27" s="24">
        <v>10.0</v>
      </c>
      <c r="H27" s="12">
        <f>Detail_avancement!B27</f>
        <v>10</v>
      </c>
      <c r="I27" s="21">
        <f t="shared" si="1"/>
        <v>0</v>
      </c>
      <c r="J27" s="14">
        <f t="shared" si="2"/>
        <v>1</v>
      </c>
      <c r="K27" s="22"/>
    </row>
    <row r="28" ht="30.0" customHeight="1">
      <c r="A28" s="6">
        <v>27.0</v>
      </c>
      <c r="B28" s="23" t="s">
        <v>23</v>
      </c>
      <c r="C28" s="17" t="s">
        <v>51</v>
      </c>
      <c r="D28" s="18" t="s">
        <v>55</v>
      </c>
      <c r="E28" s="17" t="s">
        <v>34</v>
      </c>
      <c r="F28" s="19" t="s">
        <v>6</v>
      </c>
      <c r="G28" s="20">
        <v>20.0</v>
      </c>
      <c r="H28" s="12">
        <f>Detail_avancement!B28</f>
        <v>20</v>
      </c>
      <c r="I28" s="21">
        <f t="shared" si="1"/>
        <v>0</v>
      </c>
      <c r="J28" s="14">
        <f t="shared" si="2"/>
        <v>1</v>
      </c>
      <c r="K28" s="22"/>
    </row>
    <row r="29" ht="30.0" customHeight="1">
      <c r="A29" s="6">
        <v>28.0</v>
      </c>
      <c r="B29" s="23" t="s">
        <v>23</v>
      </c>
      <c r="C29" s="17" t="s">
        <v>51</v>
      </c>
      <c r="D29" s="18" t="s">
        <v>56</v>
      </c>
      <c r="E29" s="17" t="s">
        <v>34</v>
      </c>
      <c r="F29" s="19" t="s">
        <v>6</v>
      </c>
      <c r="G29" s="20">
        <v>15.0</v>
      </c>
      <c r="H29" s="12">
        <v>15.0</v>
      </c>
      <c r="I29" s="21">
        <f t="shared" si="1"/>
        <v>0</v>
      </c>
      <c r="J29" s="14">
        <f t="shared" si="2"/>
        <v>1</v>
      </c>
      <c r="K29" s="22"/>
    </row>
    <row r="30" ht="30.0" customHeight="1">
      <c r="A30" s="6">
        <v>29.0</v>
      </c>
      <c r="B30" s="25" t="s">
        <v>23</v>
      </c>
      <c r="C30" s="26" t="s">
        <v>57</v>
      </c>
      <c r="D30" s="27" t="s">
        <v>58</v>
      </c>
      <c r="E30" s="19" t="s">
        <v>34</v>
      </c>
      <c r="F30" s="19" t="s">
        <v>6</v>
      </c>
      <c r="G30" s="24">
        <v>15.0</v>
      </c>
      <c r="H30" s="12">
        <v>15.0</v>
      </c>
      <c r="I30" s="21">
        <f t="shared" si="1"/>
        <v>0</v>
      </c>
      <c r="J30" s="14">
        <f t="shared" si="2"/>
        <v>1</v>
      </c>
      <c r="K30" s="22"/>
    </row>
    <row r="31" ht="30.0" customHeight="1">
      <c r="A31" s="6">
        <v>30.0</v>
      </c>
      <c r="B31" s="23" t="s">
        <v>23</v>
      </c>
      <c r="C31" s="17" t="s">
        <v>57</v>
      </c>
      <c r="D31" s="18" t="s">
        <v>59</v>
      </c>
      <c r="E31" s="17" t="s">
        <v>34</v>
      </c>
      <c r="F31" s="19" t="s">
        <v>6</v>
      </c>
      <c r="G31" s="24">
        <v>20.0</v>
      </c>
      <c r="H31" s="12">
        <v>20.0</v>
      </c>
      <c r="I31" s="21">
        <f t="shared" si="1"/>
        <v>0</v>
      </c>
      <c r="J31" s="14">
        <f t="shared" si="2"/>
        <v>1</v>
      </c>
      <c r="K31" s="22"/>
    </row>
    <row r="32" ht="30.0" customHeight="1">
      <c r="A32" s="6">
        <v>34.0</v>
      </c>
      <c r="B32" s="23" t="s">
        <v>23</v>
      </c>
      <c r="C32" s="17" t="s">
        <v>60</v>
      </c>
      <c r="D32" s="18" t="s">
        <v>61</v>
      </c>
      <c r="E32" s="17" t="s">
        <v>60</v>
      </c>
      <c r="F32" s="19" t="s">
        <v>2</v>
      </c>
      <c r="G32" s="24">
        <v>2.0</v>
      </c>
      <c r="H32" s="12">
        <f>Detail_avancement!B32</f>
        <v>2</v>
      </c>
      <c r="I32" s="21">
        <f t="shared" si="1"/>
        <v>0</v>
      </c>
      <c r="J32" s="14">
        <f t="shared" si="2"/>
        <v>1</v>
      </c>
      <c r="K32" s="22"/>
    </row>
    <row r="33" ht="30.0" customHeight="1">
      <c r="A33" s="6">
        <v>35.0</v>
      </c>
      <c r="B33" s="25" t="s">
        <v>23</v>
      </c>
      <c r="C33" s="26" t="s">
        <v>60</v>
      </c>
      <c r="D33" s="27" t="s">
        <v>62</v>
      </c>
      <c r="E33" s="19" t="s">
        <v>60</v>
      </c>
      <c r="F33" s="19" t="s">
        <v>2</v>
      </c>
      <c r="G33" s="24">
        <v>40.0</v>
      </c>
      <c r="H33" s="12">
        <f>Detail_avancement!B33</f>
        <v>40</v>
      </c>
      <c r="I33" s="12">
        <v>0.0</v>
      </c>
      <c r="J33" s="14">
        <f t="shared" si="2"/>
        <v>1</v>
      </c>
      <c r="K33" s="22"/>
    </row>
    <row r="34" ht="30.0" customHeight="1">
      <c r="A34" s="6">
        <v>36.0</v>
      </c>
      <c r="B34" s="23" t="s">
        <v>23</v>
      </c>
      <c r="C34" s="17" t="s">
        <v>60</v>
      </c>
      <c r="D34" s="18" t="s">
        <v>63</v>
      </c>
      <c r="E34" s="17" t="s">
        <v>60</v>
      </c>
      <c r="F34" s="19" t="s">
        <v>2</v>
      </c>
      <c r="G34" s="24">
        <v>5.0</v>
      </c>
      <c r="H34" s="12">
        <f>Detail_avancement!B34</f>
        <v>5</v>
      </c>
      <c r="I34" s="21">
        <f t="shared" ref="I34:I146" si="3">G34-H34</f>
        <v>0</v>
      </c>
      <c r="J34" s="14">
        <f t="shared" si="2"/>
        <v>1</v>
      </c>
      <c r="K34" s="22"/>
    </row>
    <row r="35" ht="30.0" customHeight="1">
      <c r="A35" s="6">
        <v>37.0</v>
      </c>
      <c r="B35" s="23" t="s">
        <v>23</v>
      </c>
      <c r="C35" s="17" t="s">
        <v>60</v>
      </c>
      <c r="D35" s="18" t="s">
        <v>64</v>
      </c>
      <c r="E35" s="17" t="s">
        <v>60</v>
      </c>
      <c r="F35" s="19" t="s">
        <v>2</v>
      </c>
      <c r="G35" s="24">
        <v>5.0</v>
      </c>
      <c r="H35" s="12">
        <f>Detail_avancement!B35</f>
        <v>5</v>
      </c>
      <c r="I35" s="21">
        <f t="shared" si="3"/>
        <v>0</v>
      </c>
      <c r="J35" s="14">
        <f t="shared" si="2"/>
        <v>1</v>
      </c>
      <c r="K35" s="22"/>
    </row>
    <row r="36" ht="30.0" customHeight="1">
      <c r="A36" s="6">
        <v>38.0</v>
      </c>
      <c r="B36" s="23" t="s">
        <v>23</v>
      </c>
      <c r="C36" s="17" t="s">
        <v>60</v>
      </c>
      <c r="D36" s="18" t="s">
        <v>65</v>
      </c>
      <c r="E36" s="17" t="s">
        <v>60</v>
      </c>
      <c r="F36" s="19" t="s">
        <v>2</v>
      </c>
      <c r="G36" s="24">
        <v>5.0</v>
      </c>
      <c r="H36" s="12">
        <f>Detail_avancement!B36</f>
        <v>5</v>
      </c>
      <c r="I36" s="21">
        <f t="shared" si="3"/>
        <v>0</v>
      </c>
      <c r="J36" s="14">
        <f t="shared" si="2"/>
        <v>1</v>
      </c>
      <c r="K36" s="22"/>
    </row>
    <row r="37" ht="30.0" customHeight="1">
      <c r="A37" s="6">
        <v>39.0</v>
      </c>
      <c r="B37" s="23" t="s">
        <v>23</v>
      </c>
      <c r="C37" s="17" t="s">
        <v>60</v>
      </c>
      <c r="D37" s="18" t="s">
        <v>66</v>
      </c>
      <c r="E37" s="17" t="s">
        <v>60</v>
      </c>
      <c r="F37" s="19" t="s">
        <v>2</v>
      </c>
      <c r="G37" s="24">
        <v>20.0</v>
      </c>
      <c r="H37" s="12">
        <f>Detail_avancement!B37</f>
        <v>20</v>
      </c>
      <c r="I37" s="21">
        <f t="shared" si="3"/>
        <v>0</v>
      </c>
      <c r="J37" s="14">
        <f t="shared" si="2"/>
        <v>1</v>
      </c>
      <c r="K37" s="22"/>
    </row>
    <row r="38" ht="30.0" customHeight="1">
      <c r="A38" s="6">
        <v>40.0</v>
      </c>
      <c r="B38" s="28" t="s">
        <v>67</v>
      </c>
      <c r="C38" s="29" t="s">
        <v>20</v>
      </c>
      <c r="D38" s="30" t="s">
        <v>68</v>
      </c>
      <c r="E38" s="31" t="s">
        <v>25</v>
      </c>
      <c r="F38" s="32" t="s">
        <v>0</v>
      </c>
      <c r="G38" s="33">
        <v>20.0</v>
      </c>
      <c r="H38" s="12">
        <f>Detail_avancement!B38</f>
        <v>20</v>
      </c>
      <c r="I38" s="21">
        <f t="shared" si="3"/>
        <v>0</v>
      </c>
      <c r="J38" s="14">
        <f t="shared" si="2"/>
        <v>1</v>
      </c>
      <c r="K38" s="22"/>
    </row>
    <row r="39" ht="30.0" customHeight="1">
      <c r="A39" s="6">
        <v>41.0</v>
      </c>
      <c r="B39" s="34" t="s">
        <v>67</v>
      </c>
      <c r="C39" s="35" t="s">
        <v>20</v>
      </c>
      <c r="D39" s="36" t="s">
        <v>69</v>
      </c>
      <c r="E39" s="37" t="s">
        <v>25</v>
      </c>
      <c r="F39" s="38" t="s">
        <v>0</v>
      </c>
      <c r="G39" s="39">
        <v>15.0</v>
      </c>
      <c r="H39" s="12">
        <f>Detail_avancement!B39</f>
        <v>15</v>
      </c>
      <c r="I39" s="21">
        <f t="shared" si="3"/>
        <v>0</v>
      </c>
      <c r="J39" s="14">
        <f t="shared" si="2"/>
        <v>1</v>
      </c>
      <c r="K39" s="22"/>
    </row>
    <row r="40" ht="30.0" customHeight="1">
      <c r="A40" s="6">
        <v>42.0</v>
      </c>
      <c r="B40" s="28" t="s">
        <v>67</v>
      </c>
      <c r="C40" s="40" t="s">
        <v>22</v>
      </c>
      <c r="D40" s="30" t="s">
        <v>70</v>
      </c>
      <c r="E40" s="31" t="s">
        <v>22</v>
      </c>
      <c r="F40" s="32" t="s">
        <v>0</v>
      </c>
      <c r="G40" s="41">
        <v>20.0</v>
      </c>
      <c r="H40" s="12">
        <f>Detail_avancement!B40</f>
        <v>25</v>
      </c>
      <c r="I40" s="21">
        <f t="shared" si="3"/>
        <v>-5</v>
      </c>
      <c r="J40" s="14">
        <f t="shared" si="2"/>
        <v>1.25</v>
      </c>
      <c r="K40" s="22"/>
    </row>
    <row r="41" ht="30.0" customHeight="1">
      <c r="A41" s="6">
        <v>43.0</v>
      </c>
      <c r="B41" s="34" t="s">
        <v>67</v>
      </c>
      <c r="C41" s="42" t="s">
        <v>22</v>
      </c>
      <c r="D41" s="36" t="s">
        <v>71</v>
      </c>
      <c r="E41" s="37" t="s">
        <v>22</v>
      </c>
      <c r="F41" s="38" t="s">
        <v>0</v>
      </c>
      <c r="G41" s="39">
        <v>15.0</v>
      </c>
      <c r="H41" s="12">
        <f>Detail_avancement!B41</f>
        <v>15</v>
      </c>
      <c r="I41" s="21">
        <f t="shared" si="3"/>
        <v>0</v>
      </c>
      <c r="J41" s="14">
        <f t="shared" si="2"/>
        <v>1</v>
      </c>
      <c r="K41" s="22"/>
    </row>
    <row r="42" ht="30.0" customHeight="1">
      <c r="A42" s="6">
        <v>44.0</v>
      </c>
      <c r="B42" s="28" t="s">
        <v>67</v>
      </c>
      <c r="C42" s="40" t="s">
        <v>22</v>
      </c>
      <c r="D42" s="30" t="s">
        <v>72</v>
      </c>
      <c r="E42" s="31" t="s">
        <v>22</v>
      </c>
      <c r="F42" s="32" t="s">
        <v>0</v>
      </c>
      <c r="G42" s="33">
        <v>30.0</v>
      </c>
      <c r="H42" s="12">
        <f>Detail_avancement!B42</f>
        <v>30</v>
      </c>
      <c r="I42" s="21">
        <f t="shared" si="3"/>
        <v>0</v>
      </c>
      <c r="J42" s="14">
        <f t="shared" si="2"/>
        <v>1</v>
      </c>
      <c r="K42" s="22"/>
    </row>
    <row r="43" ht="30.0" customHeight="1">
      <c r="A43" s="6">
        <v>45.0</v>
      </c>
      <c r="B43" s="34" t="s">
        <v>67</v>
      </c>
      <c r="C43" s="42" t="s">
        <v>22</v>
      </c>
      <c r="D43" s="36" t="s">
        <v>73</v>
      </c>
      <c r="E43" s="37" t="s">
        <v>22</v>
      </c>
      <c r="F43" s="38" t="s">
        <v>0</v>
      </c>
      <c r="G43" s="39">
        <v>30.0</v>
      </c>
      <c r="H43" s="12">
        <f>Detail_avancement!B43</f>
        <v>30</v>
      </c>
      <c r="I43" s="21">
        <f t="shared" si="3"/>
        <v>0</v>
      </c>
      <c r="J43" s="14">
        <f t="shared" si="2"/>
        <v>1</v>
      </c>
      <c r="K43" s="22"/>
    </row>
    <row r="44" ht="30.0" customHeight="1">
      <c r="A44" s="6">
        <v>46.0</v>
      </c>
      <c r="B44" s="28" t="s">
        <v>67</v>
      </c>
      <c r="C44" s="40" t="s">
        <v>22</v>
      </c>
      <c r="D44" s="30" t="s">
        <v>74</v>
      </c>
      <c r="E44" s="43" t="s">
        <v>30</v>
      </c>
      <c r="F44" s="32" t="s">
        <v>0</v>
      </c>
      <c r="G44" s="33">
        <v>15.0</v>
      </c>
      <c r="H44" s="12">
        <f>Detail_avancement!B44</f>
        <v>15</v>
      </c>
      <c r="I44" s="21">
        <f t="shared" si="3"/>
        <v>0</v>
      </c>
      <c r="J44" s="14">
        <f t="shared" si="2"/>
        <v>1</v>
      </c>
      <c r="K44" s="22"/>
    </row>
    <row r="45" ht="30.0" customHeight="1">
      <c r="A45" s="6">
        <v>47.0</v>
      </c>
      <c r="B45" s="34" t="s">
        <v>67</v>
      </c>
      <c r="C45" s="44" t="s">
        <v>34</v>
      </c>
      <c r="D45" s="36" t="s">
        <v>75</v>
      </c>
      <c r="E45" s="37" t="s">
        <v>76</v>
      </c>
      <c r="F45" s="38" t="s">
        <v>4</v>
      </c>
      <c r="G45" s="39">
        <v>15.0</v>
      </c>
      <c r="H45" s="12">
        <f>Detail_avancement!B45</f>
        <v>15</v>
      </c>
      <c r="I45" s="21">
        <f t="shared" si="3"/>
        <v>0</v>
      </c>
      <c r="J45" s="14">
        <f t="shared" si="2"/>
        <v>1</v>
      </c>
      <c r="K45" s="22"/>
    </row>
    <row r="46" ht="30.0" customHeight="1">
      <c r="A46" s="6">
        <v>48.0</v>
      </c>
      <c r="B46" s="28" t="s">
        <v>67</v>
      </c>
      <c r="C46" s="45" t="s">
        <v>34</v>
      </c>
      <c r="D46" s="30" t="s">
        <v>77</v>
      </c>
      <c r="E46" s="31" t="s">
        <v>76</v>
      </c>
      <c r="F46" s="32" t="s">
        <v>4</v>
      </c>
      <c r="G46" s="33">
        <v>20.0</v>
      </c>
      <c r="H46" s="12">
        <f>Detail_avancement!B46</f>
        <v>20</v>
      </c>
      <c r="I46" s="21">
        <f t="shared" si="3"/>
        <v>0</v>
      </c>
      <c r="J46" s="14">
        <f t="shared" si="2"/>
        <v>1</v>
      </c>
      <c r="K46" s="22"/>
    </row>
    <row r="47" ht="30.0" customHeight="1">
      <c r="A47" s="6">
        <v>49.0</v>
      </c>
      <c r="B47" s="34" t="s">
        <v>67</v>
      </c>
      <c r="C47" s="44" t="s">
        <v>34</v>
      </c>
      <c r="D47" s="36" t="s">
        <v>78</v>
      </c>
      <c r="E47" s="37" t="s">
        <v>76</v>
      </c>
      <c r="F47" s="38" t="s">
        <v>4</v>
      </c>
      <c r="G47" s="46">
        <v>20.0</v>
      </c>
      <c r="H47" s="12">
        <f>Detail_avancement!B47</f>
        <v>25</v>
      </c>
      <c r="I47" s="21">
        <f t="shared" si="3"/>
        <v>-5</v>
      </c>
      <c r="J47" s="14">
        <f t="shared" si="2"/>
        <v>1.25</v>
      </c>
      <c r="K47" s="22"/>
    </row>
    <row r="48" ht="30.0" customHeight="1">
      <c r="A48" s="6">
        <v>50.0</v>
      </c>
      <c r="B48" s="28" t="s">
        <v>67</v>
      </c>
      <c r="C48" s="45" t="s">
        <v>34</v>
      </c>
      <c r="D48" s="30" t="s">
        <v>79</v>
      </c>
      <c r="E48" s="31" t="s">
        <v>76</v>
      </c>
      <c r="F48" s="32" t="s">
        <v>4</v>
      </c>
      <c r="G48" s="33">
        <v>20.0</v>
      </c>
      <c r="H48" s="12">
        <f>Detail_avancement!B48</f>
        <v>20</v>
      </c>
      <c r="I48" s="21">
        <f t="shared" si="3"/>
        <v>0</v>
      </c>
      <c r="J48" s="14">
        <f t="shared" si="2"/>
        <v>1</v>
      </c>
      <c r="K48" s="22"/>
    </row>
    <row r="49" ht="30.0" customHeight="1">
      <c r="A49" s="6">
        <v>51.0</v>
      </c>
      <c r="B49" s="34" t="s">
        <v>67</v>
      </c>
      <c r="C49" s="44" t="s">
        <v>34</v>
      </c>
      <c r="D49" s="36" t="s">
        <v>80</v>
      </c>
      <c r="E49" s="37" t="s">
        <v>76</v>
      </c>
      <c r="F49" s="38" t="s">
        <v>4</v>
      </c>
      <c r="G49" s="39">
        <v>30.0</v>
      </c>
      <c r="H49" s="12">
        <f>Detail_avancement!B49</f>
        <v>37</v>
      </c>
      <c r="I49" s="21">
        <f t="shared" si="3"/>
        <v>-7</v>
      </c>
      <c r="J49" s="14">
        <f t="shared" si="2"/>
        <v>1.233333333</v>
      </c>
      <c r="K49" s="22"/>
    </row>
    <row r="50" ht="30.0" customHeight="1">
      <c r="A50" s="6">
        <v>52.0</v>
      </c>
      <c r="B50" s="28" t="s">
        <v>67</v>
      </c>
      <c r="C50" s="45" t="s">
        <v>34</v>
      </c>
      <c r="D50" s="30" t="s">
        <v>81</v>
      </c>
      <c r="E50" s="31" t="s">
        <v>76</v>
      </c>
      <c r="F50" s="32" t="s">
        <v>4</v>
      </c>
      <c r="G50" s="41">
        <v>20.0</v>
      </c>
      <c r="H50" s="12">
        <f>Detail_avancement!B50</f>
        <v>25</v>
      </c>
      <c r="I50" s="21">
        <f t="shared" si="3"/>
        <v>-5</v>
      </c>
      <c r="J50" s="14">
        <f t="shared" si="2"/>
        <v>1.25</v>
      </c>
      <c r="K50" s="22"/>
    </row>
    <row r="51" ht="30.0" customHeight="1">
      <c r="A51" s="6">
        <v>53.0</v>
      </c>
      <c r="B51" s="34" t="s">
        <v>67</v>
      </c>
      <c r="C51" s="44" t="s">
        <v>34</v>
      </c>
      <c r="D51" s="36" t="s">
        <v>82</v>
      </c>
      <c r="E51" s="37" t="s">
        <v>76</v>
      </c>
      <c r="F51" s="38" t="s">
        <v>4</v>
      </c>
      <c r="G51" s="39">
        <v>20.0</v>
      </c>
      <c r="H51" s="12">
        <f>Detail_avancement!B51</f>
        <v>20</v>
      </c>
      <c r="I51" s="21">
        <f t="shared" si="3"/>
        <v>0</v>
      </c>
      <c r="J51" s="14">
        <f t="shared" si="2"/>
        <v>1</v>
      </c>
      <c r="K51" s="22"/>
    </row>
    <row r="52" ht="30.0" customHeight="1">
      <c r="A52" s="6">
        <v>54.0</v>
      </c>
      <c r="B52" s="28" t="s">
        <v>67</v>
      </c>
      <c r="C52" s="45" t="s">
        <v>34</v>
      </c>
      <c r="D52" s="30" t="s">
        <v>83</v>
      </c>
      <c r="E52" s="31" t="s">
        <v>84</v>
      </c>
      <c r="F52" s="32" t="s">
        <v>4</v>
      </c>
      <c r="G52" s="33">
        <v>15.0</v>
      </c>
      <c r="H52" s="12">
        <f>Detail_avancement!B52</f>
        <v>15</v>
      </c>
      <c r="I52" s="21">
        <f t="shared" si="3"/>
        <v>0</v>
      </c>
      <c r="J52" s="14">
        <f t="shared" si="2"/>
        <v>1</v>
      </c>
      <c r="K52" s="22"/>
    </row>
    <row r="53" ht="30.0" customHeight="1">
      <c r="A53" s="6">
        <v>55.0</v>
      </c>
      <c r="B53" s="34" t="s">
        <v>67</v>
      </c>
      <c r="C53" s="47" t="s">
        <v>85</v>
      </c>
      <c r="D53" s="36" t="s">
        <v>86</v>
      </c>
      <c r="E53" s="48" t="s">
        <v>30</v>
      </c>
      <c r="F53" s="38" t="s">
        <v>6</v>
      </c>
      <c r="G53" s="39">
        <v>20.0</v>
      </c>
      <c r="H53" s="12">
        <f>Detail_avancement!B53</f>
        <v>20</v>
      </c>
      <c r="I53" s="21">
        <f t="shared" si="3"/>
        <v>0</v>
      </c>
      <c r="J53" s="14">
        <f t="shared" si="2"/>
        <v>1</v>
      </c>
      <c r="K53" s="22"/>
    </row>
    <row r="54" ht="30.0" customHeight="1">
      <c r="A54" s="6">
        <v>56.0</v>
      </c>
      <c r="B54" s="28" t="s">
        <v>67</v>
      </c>
      <c r="C54" s="49" t="s">
        <v>85</v>
      </c>
      <c r="D54" s="30" t="s">
        <v>87</v>
      </c>
      <c r="E54" s="43" t="s">
        <v>30</v>
      </c>
      <c r="F54" s="32" t="s">
        <v>6</v>
      </c>
      <c r="G54" s="33">
        <v>20.0</v>
      </c>
      <c r="H54" s="12">
        <f>Detail_avancement!B54</f>
        <v>20</v>
      </c>
      <c r="I54" s="21">
        <f t="shared" si="3"/>
        <v>0</v>
      </c>
      <c r="J54" s="14">
        <f t="shared" si="2"/>
        <v>1</v>
      </c>
      <c r="K54" s="22"/>
    </row>
    <row r="55" ht="30.0" customHeight="1">
      <c r="A55" s="6">
        <v>57.0</v>
      </c>
      <c r="B55" s="34" t="s">
        <v>67</v>
      </c>
      <c r="C55" s="50" t="s">
        <v>60</v>
      </c>
      <c r="D55" s="36" t="s">
        <v>88</v>
      </c>
      <c r="E55" s="37" t="s">
        <v>60</v>
      </c>
      <c r="F55" s="38" t="s">
        <v>2</v>
      </c>
      <c r="G55" s="39">
        <v>20.0</v>
      </c>
      <c r="H55" s="12">
        <f>Detail_avancement!B55</f>
        <v>20</v>
      </c>
      <c r="I55" s="21">
        <f t="shared" si="3"/>
        <v>0</v>
      </c>
      <c r="J55" s="14">
        <f t="shared" si="2"/>
        <v>1</v>
      </c>
      <c r="K55" s="22"/>
    </row>
    <row r="56" ht="30.0" customHeight="1">
      <c r="A56" s="6">
        <v>58.0</v>
      </c>
      <c r="B56" s="51" t="s">
        <v>67</v>
      </c>
      <c r="C56" s="52" t="s">
        <v>60</v>
      </c>
      <c r="D56" s="53" t="s">
        <v>89</v>
      </c>
      <c r="E56" s="54" t="s">
        <v>60</v>
      </c>
      <c r="F56" s="55" t="s">
        <v>2</v>
      </c>
      <c r="G56" s="56">
        <v>15.0</v>
      </c>
      <c r="H56" s="12">
        <f>Detail_avancement!B56</f>
        <v>15</v>
      </c>
      <c r="I56" s="21">
        <f t="shared" si="3"/>
        <v>0</v>
      </c>
      <c r="J56" s="14">
        <f t="shared" si="2"/>
        <v>1</v>
      </c>
      <c r="K56" s="22"/>
    </row>
    <row r="57" ht="30.0" customHeight="1">
      <c r="A57" s="6">
        <v>59.0</v>
      </c>
      <c r="B57" s="57" t="s">
        <v>67</v>
      </c>
      <c r="C57" s="58" t="s">
        <v>90</v>
      </c>
      <c r="D57" s="59" t="s">
        <v>91</v>
      </c>
      <c r="E57" s="60" t="s">
        <v>90</v>
      </c>
      <c r="F57" s="61" t="s">
        <v>6</v>
      </c>
      <c r="G57" s="62">
        <v>10.0</v>
      </c>
      <c r="H57" s="12">
        <f>Detail_avancement!B57</f>
        <v>10</v>
      </c>
      <c r="I57" s="21">
        <f t="shared" si="3"/>
        <v>0</v>
      </c>
      <c r="J57" s="14">
        <f t="shared" si="2"/>
        <v>1</v>
      </c>
      <c r="K57" s="63"/>
    </row>
    <row r="58" ht="30.0" customHeight="1">
      <c r="A58" s="6">
        <v>60.0</v>
      </c>
      <c r="B58" s="64" t="s">
        <v>92</v>
      </c>
      <c r="C58" s="65" t="s">
        <v>93</v>
      </c>
      <c r="D58" s="66" t="s">
        <v>94</v>
      </c>
      <c r="E58" s="65" t="s">
        <v>25</v>
      </c>
      <c r="F58" s="67" t="s">
        <v>2</v>
      </c>
      <c r="G58" s="68">
        <v>60.0</v>
      </c>
      <c r="H58" s="12">
        <f>Detail_avancement!B58</f>
        <v>60</v>
      </c>
      <c r="I58" s="69">
        <f t="shared" si="3"/>
        <v>0</v>
      </c>
      <c r="J58" s="14">
        <f t="shared" si="2"/>
        <v>1</v>
      </c>
      <c r="K58" s="70" t="s">
        <v>95</v>
      </c>
    </row>
    <row r="59" ht="30.0" customHeight="1">
      <c r="A59" s="6">
        <v>61.0</v>
      </c>
      <c r="B59" s="71" t="s">
        <v>92</v>
      </c>
      <c r="C59" s="72" t="s">
        <v>20</v>
      </c>
      <c r="D59" s="73" t="s">
        <v>96</v>
      </c>
      <c r="E59" s="72" t="s">
        <v>76</v>
      </c>
      <c r="F59" s="74" t="s">
        <v>0</v>
      </c>
      <c r="G59" s="75">
        <v>20.0</v>
      </c>
      <c r="H59" s="12">
        <f>Detail_avancement!B59</f>
        <v>20</v>
      </c>
      <c r="I59" s="76">
        <f t="shared" si="3"/>
        <v>0</v>
      </c>
      <c r="J59" s="14">
        <f t="shared" si="2"/>
        <v>1</v>
      </c>
      <c r="K59" s="77" t="s">
        <v>97</v>
      </c>
    </row>
    <row r="60" ht="30.0" customHeight="1">
      <c r="A60" s="6">
        <v>62.0</v>
      </c>
      <c r="B60" s="78" t="s">
        <v>92</v>
      </c>
      <c r="C60" s="79" t="s">
        <v>20</v>
      </c>
      <c r="D60" s="80" t="s">
        <v>98</v>
      </c>
      <c r="E60" s="79" t="s">
        <v>22</v>
      </c>
      <c r="F60" s="81" t="s">
        <v>4</v>
      </c>
      <c r="G60" s="82">
        <v>20.0</v>
      </c>
      <c r="H60" s="12">
        <f>Detail_avancement!B60</f>
        <v>20</v>
      </c>
      <c r="I60" s="83">
        <f t="shared" si="3"/>
        <v>0</v>
      </c>
      <c r="J60" s="14">
        <f t="shared" si="2"/>
        <v>1</v>
      </c>
      <c r="K60" s="84" t="s">
        <v>99</v>
      </c>
    </row>
    <row r="61" ht="30.0" customHeight="1">
      <c r="A61" s="6">
        <v>63.0</v>
      </c>
      <c r="B61" s="85" t="s">
        <v>92</v>
      </c>
      <c r="C61" s="72" t="s">
        <v>100</v>
      </c>
      <c r="D61" s="73" t="s">
        <v>101</v>
      </c>
      <c r="E61" s="72" t="s">
        <v>76</v>
      </c>
      <c r="F61" s="74" t="s">
        <v>4</v>
      </c>
      <c r="G61" s="86">
        <v>20.0</v>
      </c>
      <c r="H61" s="12">
        <f>Detail_avancement!B61</f>
        <v>20</v>
      </c>
      <c r="I61" s="76">
        <f t="shared" si="3"/>
        <v>0</v>
      </c>
      <c r="J61" s="14">
        <f t="shared" si="2"/>
        <v>1</v>
      </c>
      <c r="K61" s="77" t="s">
        <v>102</v>
      </c>
    </row>
    <row r="62" ht="30.0" customHeight="1">
      <c r="A62" s="6">
        <v>64.0</v>
      </c>
      <c r="B62" s="87" t="s">
        <v>92</v>
      </c>
      <c r="C62" s="79" t="s">
        <v>100</v>
      </c>
      <c r="D62" s="80" t="s">
        <v>103</v>
      </c>
      <c r="E62" s="79" t="s">
        <v>76</v>
      </c>
      <c r="F62" s="81" t="s">
        <v>0</v>
      </c>
      <c r="G62" s="82">
        <v>10.0</v>
      </c>
      <c r="H62" s="12">
        <f>Detail_avancement!B62</f>
        <v>10</v>
      </c>
      <c r="I62" s="83">
        <f t="shared" si="3"/>
        <v>0</v>
      </c>
      <c r="J62" s="14">
        <f t="shared" si="2"/>
        <v>1</v>
      </c>
      <c r="K62" s="84" t="s">
        <v>104</v>
      </c>
    </row>
    <row r="63" ht="30.0" customHeight="1">
      <c r="A63" s="6">
        <v>65.0</v>
      </c>
      <c r="B63" s="71" t="s">
        <v>92</v>
      </c>
      <c r="C63" s="72" t="s">
        <v>105</v>
      </c>
      <c r="D63" s="73" t="s">
        <v>106</v>
      </c>
      <c r="E63" s="72" t="s">
        <v>76</v>
      </c>
      <c r="F63" s="74" t="s">
        <v>0</v>
      </c>
      <c r="G63" s="86">
        <v>20.0</v>
      </c>
      <c r="H63" s="12">
        <f>Detail_avancement!B63</f>
        <v>20</v>
      </c>
      <c r="I63" s="76">
        <f t="shared" si="3"/>
        <v>0</v>
      </c>
      <c r="J63" s="14">
        <f t="shared" si="2"/>
        <v>1</v>
      </c>
      <c r="K63" s="77" t="s">
        <v>107</v>
      </c>
    </row>
    <row r="64" ht="30.0" customHeight="1">
      <c r="A64" s="6">
        <v>66.0</v>
      </c>
      <c r="B64" s="78" t="s">
        <v>92</v>
      </c>
      <c r="C64" s="79" t="s">
        <v>105</v>
      </c>
      <c r="D64" s="80" t="s">
        <v>108</v>
      </c>
      <c r="E64" s="79" t="s">
        <v>76</v>
      </c>
      <c r="F64" s="81" t="s">
        <v>0</v>
      </c>
      <c r="G64" s="82">
        <v>15.0</v>
      </c>
      <c r="H64" s="12">
        <f>Detail_avancement!B64</f>
        <v>15</v>
      </c>
      <c r="I64" s="83">
        <f t="shared" si="3"/>
        <v>0</v>
      </c>
      <c r="J64" s="14">
        <f t="shared" si="2"/>
        <v>1</v>
      </c>
      <c r="K64" s="84" t="s">
        <v>109</v>
      </c>
    </row>
    <row r="65" ht="30.0" customHeight="1">
      <c r="A65" s="6">
        <v>67.0</v>
      </c>
      <c r="B65" s="71" t="s">
        <v>92</v>
      </c>
      <c r="C65" s="72" t="s">
        <v>110</v>
      </c>
      <c r="D65" s="73" t="s">
        <v>111</v>
      </c>
      <c r="E65" s="72" t="s">
        <v>76</v>
      </c>
      <c r="F65" s="74" t="s">
        <v>6</v>
      </c>
      <c r="G65" s="75">
        <v>30.0</v>
      </c>
      <c r="H65" s="12">
        <f>Detail_avancement!B65</f>
        <v>45</v>
      </c>
      <c r="I65" s="76">
        <f t="shared" si="3"/>
        <v>-15</v>
      </c>
      <c r="J65" s="14">
        <f t="shared" si="2"/>
        <v>1.5</v>
      </c>
      <c r="K65" s="77" t="s">
        <v>112</v>
      </c>
    </row>
    <row r="66" ht="30.0" customHeight="1">
      <c r="A66" s="6">
        <v>68.0</v>
      </c>
      <c r="B66" s="78" t="s">
        <v>92</v>
      </c>
      <c r="C66" s="79" t="s">
        <v>110</v>
      </c>
      <c r="D66" s="80" t="s">
        <v>113</v>
      </c>
      <c r="E66" s="79" t="s">
        <v>76</v>
      </c>
      <c r="F66" s="81" t="s">
        <v>6</v>
      </c>
      <c r="G66" s="82">
        <v>30.0</v>
      </c>
      <c r="H66" s="12">
        <f>Detail_avancement!B66</f>
        <v>30</v>
      </c>
      <c r="I66" s="83">
        <f t="shared" si="3"/>
        <v>0</v>
      </c>
      <c r="J66" s="14">
        <f t="shared" si="2"/>
        <v>1</v>
      </c>
      <c r="K66" s="84" t="s">
        <v>114</v>
      </c>
    </row>
    <row r="67" ht="30.0" customHeight="1">
      <c r="A67" s="6">
        <v>69.0</v>
      </c>
      <c r="B67" s="71" t="s">
        <v>92</v>
      </c>
      <c r="C67" s="72" t="s">
        <v>110</v>
      </c>
      <c r="D67" s="73" t="s">
        <v>115</v>
      </c>
      <c r="E67" s="72" t="s">
        <v>116</v>
      </c>
      <c r="F67" s="74" t="s">
        <v>6</v>
      </c>
      <c r="G67" s="86">
        <v>20.0</v>
      </c>
      <c r="H67" s="12">
        <f>Detail_avancement!B67</f>
        <v>35</v>
      </c>
      <c r="I67" s="76">
        <f t="shared" si="3"/>
        <v>-15</v>
      </c>
      <c r="J67" s="14">
        <f t="shared" si="2"/>
        <v>1.75</v>
      </c>
      <c r="K67" s="77" t="s">
        <v>117</v>
      </c>
    </row>
    <row r="68" ht="30.0" customHeight="1">
      <c r="A68" s="6">
        <v>70.0</v>
      </c>
      <c r="B68" s="78" t="s">
        <v>92</v>
      </c>
      <c r="C68" s="79" t="s">
        <v>110</v>
      </c>
      <c r="D68" s="80" t="s">
        <v>118</v>
      </c>
      <c r="E68" s="79" t="s">
        <v>116</v>
      </c>
      <c r="F68" s="81" t="s">
        <v>6</v>
      </c>
      <c r="G68" s="88">
        <v>30.0</v>
      </c>
      <c r="H68" s="12">
        <f>Detail_avancement!B68</f>
        <v>30</v>
      </c>
      <c r="I68" s="83">
        <f t="shared" si="3"/>
        <v>0</v>
      </c>
      <c r="J68" s="14">
        <f t="shared" si="2"/>
        <v>1</v>
      </c>
      <c r="K68" s="84" t="s">
        <v>119</v>
      </c>
    </row>
    <row r="69" ht="30.0" customHeight="1">
      <c r="A69" s="6">
        <v>71.0</v>
      </c>
      <c r="B69" s="71" t="s">
        <v>92</v>
      </c>
      <c r="C69" s="72" t="s">
        <v>110</v>
      </c>
      <c r="D69" s="73" t="s">
        <v>120</v>
      </c>
      <c r="E69" s="72" t="s">
        <v>116</v>
      </c>
      <c r="F69" s="74" t="s">
        <v>6</v>
      </c>
      <c r="G69" s="86">
        <v>20.0</v>
      </c>
      <c r="H69" s="12">
        <f>Detail_avancement!B69</f>
        <v>50</v>
      </c>
      <c r="I69" s="76">
        <f t="shared" si="3"/>
        <v>-30</v>
      </c>
      <c r="J69" s="14">
        <f t="shared" si="2"/>
        <v>2.5</v>
      </c>
      <c r="K69" s="77" t="s">
        <v>121</v>
      </c>
    </row>
    <row r="70" ht="30.0" customHeight="1">
      <c r="A70" s="6">
        <v>72.0</v>
      </c>
      <c r="B70" s="78" t="s">
        <v>92</v>
      </c>
      <c r="C70" s="79" t="s">
        <v>110</v>
      </c>
      <c r="D70" s="80" t="s">
        <v>122</v>
      </c>
      <c r="E70" s="79" t="s">
        <v>76</v>
      </c>
      <c r="F70" s="81" t="s">
        <v>6</v>
      </c>
      <c r="G70" s="82">
        <v>20.0</v>
      </c>
      <c r="H70" s="12">
        <f>Detail_avancement!B70</f>
        <v>60</v>
      </c>
      <c r="I70" s="83">
        <f t="shared" si="3"/>
        <v>-40</v>
      </c>
      <c r="J70" s="14">
        <f t="shared" si="2"/>
        <v>3</v>
      </c>
      <c r="K70" s="84" t="s">
        <v>123</v>
      </c>
    </row>
    <row r="71" ht="30.0" customHeight="1">
      <c r="A71" s="6">
        <v>73.0</v>
      </c>
      <c r="B71" s="71" t="s">
        <v>92</v>
      </c>
      <c r="C71" s="72" t="s">
        <v>110</v>
      </c>
      <c r="D71" s="73" t="s">
        <v>124</v>
      </c>
      <c r="E71" s="72" t="s">
        <v>116</v>
      </c>
      <c r="F71" s="74" t="s">
        <v>6</v>
      </c>
      <c r="G71" s="86">
        <v>30.0</v>
      </c>
      <c r="H71" s="12">
        <f>Detail_avancement!B71</f>
        <v>10</v>
      </c>
      <c r="I71" s="76">
        <f t="shared" si="3"/>
        <v>20</v>
      </c>
      <c r="J71" s="14">
        <f t="shared" si="2"/>
        <v>0.3333333333</v>
      </c>
      <c r="K71" s="77" t="s">
        <v>125</v>
      </c>
    </row>
    <row r="72" ht="30.0" customHeight="1">
      <c r="A72" s="6">
        <v>74.0</v>
      </c>
      <c r="B72" s="78" t="s">
        <v>92</v>
      </c>
      <c r="C72" s="79" t="s">
        <v>110</v>
      </c>
      <c r="D72" s="80" t="s">
        <v>126</v>
      </c>
      <c r="E72" s="79" t="s">
        <v>116</v>
      </c>
      <c r="F72" s="81" t="s">
        <v>6</v>
      </c>
      <c r="G72" s="82">
        <v>20.0</v>
      </c>
      <c r="H72" s="12">
        <f>Detail_avancement!B72</f>
        <v>20</v>
      </c>
      <c r="I72" s="83">
        <f t="shared" si="3"/>
        <v>0</v>
      </c>
      <c r="J72" s="14">
        <f t="shared" si="2"/>
        <v>1</v>
      </c>
      <c r="K72" s="84" t="s">
        <v>127</v>
      </c>
    </row>
    <row r="73" ht="30.0" customHeight="1">
      <c r="A73" s="6">
        <v>75.0</v>
      </c>
      <c r="B73" s="71" t="s">
        <v>92</v>
      </c>
      <c r="C73" s="72" t="s">
        <v>128</v>
      </c>
      <c r="D73" s="73" t="s">
        <v>129</v>
      </c>
      <c r="E73" s="72" t="s">
        <v>76</v>
      </c>
      <c r="F73" s="89" t="s">
        <v>2</v>
      </c>
      <c r="G73" s="86">
        <v>20.0</v>
      </c>
      <c r="H73" s="12">
        <v>20.0</v>
      </c>
      <c r="I73" s="76">
        <f t="shared" si="3"/>
        <v>0</v>
      </c>
      <c r="J73" s="14">
        <f t="shared" si="2"/>
        <v>1</v>
      </c>
      <c r="K73" s="77" t="s">
        <v>130</v>
      </c>
    </row>
    <row r="74" ht="30.0" customHeight="1">
      <c r="A74" s="6">
        <v>76.0</v>
      </c>
      <c r="B74" s="78" t="s">
        <v>92</v>
      </c>
      <c r="C74" s="79" t="s">
        <v>128</v>
      </c>
      <c r="D74" s="80" t="s">
        <v>131</v>
      </c>
      <c r="E74" s="79" t="s">
        <v>76</v>
      </c>
      <c r="F74" s="90" t="s">
        <v>2</v>
      </c>
      <c r="G74" s="82">
        <v>30.0</v>
      </c>
      <c r="H74" s="12">
        <v>30.0</v>
      </c>
      <c r="I74" s="83">
        <f t="shared" si="3"/>
        <v>0</v>
      </c>
      <c r="J74" s="14">
        <f t="shared" si="2"/>
        <v>1</v>
      </c>
      <c r="K74" s="84" t="s">
        <v>132</v>
      </c>
    </row>
    <row r="75" ht="30.0" customHeight="1">
      <c r="A75" s="6">
        <v>77.0</v>
      </c>
      <c r="B75" s="71" t="s">
        <v>92</v>
      </c>
      <c r="C75" s="72" t="s">
        <v>128</v>
      </c>
      <c r="D75" s="73" t="s">
        <v>133</v>
      </c>
      <c r="E75" s="72" t="s">
        <v>116</v>
      </c>
      <c r="F75" s="89" t="s">
        <v>2</v>
      </c>
      <c r="G75" s="86">
        <v>30.0</v>
      </c>
      <c r="H75" s="12">
        <v>30.0</v>
      </c>
      <c r="I75" s="76">
        <f t="shared" si="3"/>
        <v>0</v>
      </c>
      <c r="J75" s="14">
        <f t="shared" si="2"/>
        <v>1</v>
      </c>
      <c r="K75" s="77" t="s">
        <v>134</v>
      </c>
    </row>
    <row r="76" ht="30.0" customHeight="1">
      <c r="A76" s="6">
        <v>78.0</v>
      </c>
      <c r="B76" s="78" t="s">
        <v>92</v>
      </c>
      <c r="C76" s="79" t="s">
        <v>128</v>
      </c>
      <c r="D76" s="80" t="s">
        <v>135</v>
      </c>
      <c r="E76" s="79" t="s">
        <v>116</v>
      </c>
      <c r="F76" s="90" t="s">
        <v>2</v>
      </c>
      <c r="G76" s="88">
        <v>40.0</v>
      </c>
      <c r="H76" s="12">
        <v>40.0</v>
      </c>
      <c r="I76" s="83">
        <f t="shared" si="3"/>
        <v>0</v>
      </c>
      <c r="J76" s="14">
        <f t="shared" si="2"/>
        <v>1</v>
      </c>
      <c r="K76" s="84" t="s">
        <v>136</v>
      </c>
    </row>
    <row r="77" ht="30.0" customHeight="1">
      <c r="A77" s="6">
        <v>79.0</v>
      </c>
      <c r="B77" s="71" t="s">
        <v>92</v>
      </c>
      <c r="C77" s="72" t="s">
        <v>128</v>
      </c>
      <c r="D77" s="73" t="s">
        <v>137</v>
      </c>
      <c r="E77" s="72" t="s">
        <v>76</v>
      </c>
      <c r="F77" s="89" t="s">
        <v>2</v>
      </c>
      <c r="G77" s="75">
        <v>20.0</v>
      </c>
      <c r="H77" s="12">
        <f>Detail_avancement!B77</f>
        <v>20</v>
      </c>
      <c r="I77" s="76">
        <f t="shared" si="3"/>
        <v>0</v>
      </c>
      <c r="J77" s="14">
        <f t="shared" si="2"/>
        <v>1</v>
      </c>
      <c r="K77" s="77" t="s">
        <v>138</v>
      </c>
    </row>
    <row r="78" ht="30.0" customHeight="1">
      <c r="A78" s="6">
        <v>80.0</v>
      </c>
      <c r="B78" s="78" t="s">
        <v>92</v>
      </c>
      <c r="C78" s="79" t="s">
        <v>128</v>
      </c>
      <c r="D78" s="80" t="s">
        <v>139</v>
      </c>
      <c r="E78" s="79" t="s">
        <v>76</v>
      </c>
      <c r="F78" s="90" t="s">
        <v>2</v>
      </c>
      <c r="G78" s="82">
        <v>30.0</v>
      </c>
      <c r="H78" s="12">
        <v>30.0</v>
      </c>
      <c r="I78" s="83">
        <f t="shared" si="3"/>
        <v>0</v>
      </c>
      <c r="J78" s="14">
        <f t="shared" si="2"/>
        <v>1</v>
      </c>
      <c r="K78" s="84" t="s">
        <v>140</v>
      </c>
    </row>
    <row r="79" ht="30.0" customHeight="1">
      <c r="A79" s="6">
        <v>81.0</v>
      </c>
      <c r="B79" s="71" t="s">
        <v>92</v>
      </c>
      <c r="C79" s="72" t="s">
        <v>128</v>
      </c>
      <c r="D79" s="73" t="s">
        <v>141</v>
      </c>
      <c r="E79" s="72" t="s">
        <v>51</v>
      </c>
      <c r="F79" s="89" t="s">
        <v>2</v>
      </c>
      <c r="G79" s="75">
        <v>20.0</v>
      </c>
      <c r="H79" s="12">
        <v>20.0</v>
      </c>
      <c r="I79" s="76">
        <f t="shared" si="3"/>
        <v>0</v>
      </c>
      <c r="J79" s="14">
        <f t="shared" si="2"/>
        <v>1</v>
      </c>
      <c r="K79" s="77" t="s">
        <v>142</v>
      </c>
    </row>
    <row r="80" ht="30.0" customHeight="1">
      <c r="A80" s="6">
        <v>82.0</v>
      </c>
      <c r="B80" s="78" t="s">
        <v>92</v>
      </c>
      <c r="C80" s="79" t="s">
        <v>143</v>
      </c>
      <c r="D80" s="80" t="s">
        <v>144</v>
      </c>
      <c r="E80" s="79" t="s">
        <v>76</v>
      </c>
      <c r="F80" s="81" t="s">
        <v>6</v>
      </c>
      <c r="G80" s="88">
        <v>20.0</v>
      </c>
      <c r="H80" s="12">
        <f>Detail_avancement!B80</f>
        <v>20</v>
      </c>
      <c r="I80" s="83">
        <f t="shared" si="3"/>
        <v>0</v>
      </c>
      <c r="J80" s="14">
        <f t="shared" si="2"/>
        <v>1</v>
      </c>
      <c r="K80" s="84" t="s">
        <v>145</v>
      </c>
    </row>
    <row r="81" ht="30.0" customHeight="1">
      <c r="A81" s="6">
        <v>83.0</v>
      </c>
      <c r="B81" s="71" t="s">
        <v>92</v>
      </c>
      <c r="C81" s="72" t="s">
        <v>146</v>
      </c>
      <c r="D81" s="73" t="s">
        <v>147</v>
      </c>
      <c r="E81" s="72" t="s">
        <v>84</v>
      </c>
      <c r="F81" s="74" t="s">
        <v>0</v>
      </c>
      <c r="G81" s="75">
        <v>20.0</v>
      </c>
      <c r="H81" s="12">
        <f>Detail_avancement!B81</f>
        <v>20</v>
      </c>
      <c r="I81" s="76">
        <f t="shared" si="3"/>
        <v>0</v>
      </c>
      <c r="J81" s="14">
        <f t="shared" si="2"/>
        <v>1</v>
      </c>
      <c r="K81" s="77" t="s">
        <v>148</v>
      </c>
    </row>
    <row r="82" ht="30.0" customHeight="1">
      <c r="A82" s="6">
        <v>84.0</v>
      </c>
      <c r="B82" s="78" t="s">
        <v>92</v>
      </c>
      <c r="C82" s="79" t="s">
        <v>85</v>
      </c>
      <c r="D82" s="80" t="s">
        <v>149</v>
      </c>
      <c r="E82" s="79" t="s">
        <v>85</v>
      </c>
      <c r="F82" s="81" t="s">
        <v>4</v>
      </c>
      <c r="G82" s="82">
        <v>30.0</v>
      </c>
      <c r="H82" s="12">
        <f>Detail_avancement!B82</f>
        <v>30</v>
      </c>
      <c r="I82" s="83">
        <f t="shared" si="3"/>
        <v>0</v>
      </c>
      <c r="J82" s="14">
        <f t="shared" si="2"/>
        <v>1</v>
      </c>
      <c r="K82" s="84" t="s">
        <v>150</v>
      </c>
    </row>
    <row r="83" ht="30.0" customHeight="1">
      <c r="A83" s="6">
        <v>85.0</v>
      </c>
      <c r="B83" s="71" t="s">
        <v>92</v>
      </c>
      <c r="C83" s="72" t="s">
        <v>85</v>
      </c>
      <c r="D83" s="73" t="s">
        <v>151</v>
      </c>
      <c r="E83" s="72" t="s">
        <v>85</v>
      </c>
      <c r="F83" s="74" t="s">
        <v>4</v>
      </c>
      <c r="G83" s="86">
        <v>20.0</v>
      </c>
      <c r="H83" s="12">
        <f>Detail_avancement!B83</f>
        <v>35</v>
      </c>
      <c r="I83" s="76">
        <f t="shared" si="3"/>
        <v>-15</v>
      </c>
      <c r="J83" s="14">
        <f t="shared" si="2"/>
        <v>1.75</v>
      </c>
      <c r="K83" s="77" t="s">
        <v>152</v>
      </c>
    </row>
    <row r="84" ht="30.0" customHeight="1">
      <c r="A84" s="6">
        <v>86.0</v>
      </c>
      <c r="B84" s="91" t="s">
        <v>92</v>
      </c>
      <c r="C84" s="92" t="s">
        <v>60</v>
      </c>
      <c r="D84" s="93" t="s">
        <v>153</v>
      </c>
      <c r="E84" s="92" t="s">
        <v>60</v>
      </c>
      <c r="F84" s="94" t="s">
        <v>2</v>
      </c>
      <c r="G84" s="95">
        <v>30.0</v>
      </c>
      <c r="H84" s="12">
        <f>Detail_avancement!B84</f>
        <v>30</v>
      </c>
      <c r="I84" s="96">
        <f t="shared" si="3"/>
        <v>0</v>
      </c>
      <c r="J84" s="14">
        <f t="shared" si="2"/>
        <v>1</v>
      </c>
      <c r="K84" s="97" t="s">
        <v>154</v>
      </c>
    </row>
    <row r="85" ht="30.0" customHeight="1">
      <c r="A85" s="6">
        <v>87.0</v>
      </c>
      <c r="B85" s="98" t="s">
        <v>92</v>
      </c>
      <c r="C85" s="99" t="s">
        <v>90</v>
      </c>
      <c r="D85" s="100" t="s">
        <v>155</v>
      </c>
      <c r="E85" s="99" t="s">
        <v>90</v>
      </c>
      <c r="F85" s="101" t="s">
        <v>2</v>
      </c>
      <c r="G85" s="102">
        <v>20.0</v>
      </c>
      <c r="H85" s="12">
        <f>Detail_avancement!B85</f>
        <v>20</v>
      </c>
      <c r="I85" s="103">
        <f t="shared" si="3"/>
        <v>0</v>
      </c>
      <c r="J85" s="14">
        <f t="shared" si="2"/>
        <v>1</v>
      </c>
      <c r="K85" s="100" t="s">
        <v>156</v>
      </c>
    </row>
    <row r="86" ht="30.0" customHeight="1">
      <c r="A86" s="6">
        <v>88.0</v>
      </c>
      <c r="B86" s="104" t="s">
        <v>157</v>
      </c>
      <c r="C86" s="65" t="s">
        <v>158</v>
      </c>
      <c r="D86" s="66" t="s">
        <v>159</v>
      </c>
      <c r="E86" s="105" t="s">
        <v>34</v>
      </c>
      <c r="F86" s="106" t="s">
        <v>0</v>
      </c>
      <c r="G86" s="68">
        <v>20.0</v>
      </c>
      <c r="H86" s="12">
        <f>Detail_avancement!B86</f>
        <v>20</v>
      </c>
      <c r="I86" s="21">
        <f t="shared" si="3"/>
        <v>0</v>
      </c>
      <c r="J86" s="14">
        <f t="shared" si="2"/>
        <v>1</v>
      </c>
      <c r="K86" s="22"/>
    </row>
    <row r="87" ht="30.0" customHeight="1">
      <c r="A87" s="6">
        <v>89.0</v>
      </c>
      <c r="B87" s="107" t="s">
        <v>157</v>
      </c>
      <c r="C87" s="72" t="s">
        <v>158</v>
      </c>
      <c r="D87" s="73" t="s">
        <v>160</v>
      </c>
      <c r="E87" s="108" t="s">
        <v>34</v>
      </c>
      <c r="F87" s="109" t="s">
        <v>0</v>
      </c>
      <c r="G87" s="75">
        <v>15.0</v>
      </c>
      <c r="H87" s="12">
        <f>Detail_avancement!B87</f>
        <v>20</v>
      </c>
      <c r="I87" s="21">
        <f t="shared" si="3"/>
        <v>-5</v>
      </c>
      <c r="J87" s="14">
        <f t="shared" si="2"/>
        <v>1.333333333</v>
      </c>
      <c r="K87" s="22"/>
    </row>
    <row r="88" ht="30.0" customHeight="1">
      <c r="A88" s="6">
        <v>90.0</v>
      </c>
      <c r="B88" s="110" t="s">
        <v>157</v>
      </c>
      <c r="C88" s="79" t="s">
        <v>158</v>
      </c>
      <c r="D88" s="80" t="s">
        <v>161</v>
      </c>
      <c r="E88" s="111" t="s">
        <v>34</v>
      </c>
      <c r="F88" s="112" t="s">
        <v>0</v>
      </c>
      <c r="G88" s="82">
        <v>20.0</v>
      </c>
      <c r="H88" s="12">
        <f>Detail_avancement!B88</f>
        <v>20</v>
      </c>
      <c r="I88" s="21">
        <f t="shared" si="3"/>
        <v>0</v>
      </c>
      <c r="J88" s="14">
        <f t="shared" si="2"/>
        <v>1</v>
      </c>
      <c r="K88" s="22"/>
    </row>
    <row r="89" ht="30.0" customHeight="1">
      <c r="A89" s="6">
        <v>91.0</v>
      </c>
      <c r="B89" s="107" t="s">
        <v>157</v>
      </c>
      <c r="C89" s="72" t="s">
        <v>158</v>
      </c>
      <c r="D89" s="73" t="s">
        <v>162</v>
      </c>
      <c r="E89" s="108" t="s">
        <v>34</v>
      </c>
      <c r="F89" s="109" t="s">
        <v>0</v>
      </c>
      <c r="G89" s="75">
        <v>20.0</v>
      </c>
      <c r="H89" s="12">
        <f>Detail_avancement!B89</f>
        <v>25</v>
      </c>
      <c r="I89" s="21">
        <f t="shared" si="3"/>
        <v>-5</v>
      </c>
      <c r="J89" s="14">
        <f t="shared" si="2"/>
        <v>1.25</v>
      </c>
      <c r="K89" s="22"/>
    </row>
    <row r="90" ht="30.0" customHeight="1">
      <c r="A90" s="6">
        <v>92.0</v>
      </c>
      <c r="B90" s="110" t="s">
        <v>157</v>
      </c>
      <c r="C90" s="79" t="s">
        <v>163</v>
      </c>
      <c r="D90" s="80" t="s">
        <v>164</v>
      </c>
      <c r="E90" s="113" t="s">
        <v>165</v>
      </c>
      <c r="F90" s="114" t="s">
        <v>4</v>
      </c>
      <c r="G90" s="88">
        <v>30.0</v>
      </c>
      <c r="H90" s="12">
        <f>Detail_avancement!B90</f>
        <v>40</v>
      </c>
      <c r="I90" s="21">
        <f t="shared" si="3"/>
        <v>-10</v>
      </c>
      <c r="J90" s="14">
        <f t="shared" si="2"/>
        <v>1.333333333</v>
      </c>
      <c r="K90" s="22"/>
    </row>
    <row r="91" ht="30.0" customHeight="1">
      <c r="A91" s="6">
        <v>93.0</v>
      </c>
      <c r="B91" s="107" t="s">
        <v>157</v>
      </c>
      <c r="C91" s="72" t="s">
        <v>163</v>
      </c>
      <c r="D91" s="73" t="s">
        <v>166</v>
      </c>
      <c r="E91" s="115" t="s">
        <v>165</v>
      </c>
      <c r="F91" s="116" t="s">
        <v>4</v>
      </c>
      <c r="G91" s="75">
        <v>20.0</v>
      </c>
      <c r="H91" s="12">
        <f>Detail_avancement!B91</f>
        <v>20</v>
      </c>
      <c r="I91" s="21">
        <f t="shared" si="3"/>
        <v>0</v>
      </c>
      <c r="J91" s="14">
        <f t="shared" si="2"/>
        <v>1</v>
      </c>
      <c r="K91" s="22"/>
    </row>
    <row r="92" ht="30.0" customHeight="1">
      <c r="A92" s="6">
        <v>94.0</v>
      </c>
      <c r="B92" s="110" t="s">
        <v>157</v>
      </c>
      <c r="C92" s="79" t="s">
        <v>163</v>
      </c>
      <c r="D92" s="80" t="s">
        <v>167</v>
      </c>
      <c r="E92" s="113" t="s">
        <v>165</v>
      </c>
      <c r="F92" s="114" t="s">
        <v>4</v>
      </c>
      <c r="G92" s="88">
        <v>20.0</v>
      </c>
      <c r="H92" s="12">
        <f>Detail_avancement!B92</f>
        <v>23</v>
      </c>
      <c r="I92" s="21">
        <f t="shared" si="3"/>
        <v>-3</v>
      </c>
      <c r="J92" s="14">
        <f t="shared" si="2"/>
        <v>1.15</v>
      </c>
      <c r="K92" s="22"/>
    </row>
    <row r="93" ht="30.0" customHeight="1">
      <c r="A93" s="6">
        <v>95.0</v>
      </c>
      <c r="B93" s="107" t="s">
        <v>157</v>
      </c>
      <c r="C93" s="72" t="s">
        <v>163</v>
      </c>
      <c r="D93" s="73" t="s">
        <v>168</v>
      </c>
      <c r="E93" s="115" t="s">
        <v>165</v>
      </c>
      <c r="F93" s="116" t="s">
        <v>4</v>
      </c>
      <c r="G93" s="75">
        <v>25.0</v>
      </c>
      <c r="H93" s="12">
        <f>Detail_avancement!B93</f>
        <v>27</v>
      </c>
      <c r="I93" s="21">
        <f t="shared" si="3"/>
        <v>-2</v>
      </c>
      <c r="J93" s="14">
        <f t="shared" si="2"/>
        <v>1.08</v>
      </c>
      <c r="K93" s="22"/>
    </row>
    <row r="94" ht="30.0" customHeight="1">
      <c r="A94" s="6">
        <v>96.0</v>
      </c>
      <c r="B94" s="110" t="s">
        <v>157</v>
      </c>
      <c r="C94" s="79" t="s">
        <v>163</v>
      </c>
      <c r="D94" s="80" t="s">
        <v>169</v>
      </c>
      <c r="E94" s="113" t="s">
        <v>165</v>
      </c>
      <c r="F94" s="114" t="s">
        <v>4</v>
      </c>
      <c r="G94" s="82">
        <v>10.0</v>
      </c>
      <c r="H94" s="12">
        <f>Detail_avancement!B94</f>
        <v>11</v>
      </c>
      <c r="I94" s="21">
        <f t="shared" si="3"/>
        <v>-1</v>
      </c>
      <c r="J94" s="14">
        <f t="shared" si="2"/>
        <v>1.1</v>
      </c>
      <c r="K94" s="22"/>
    </row>
    <row r="95" ht="30.0" customHeight="1">
      <c r="A95" s="6">
        <v>97.0</v>
      </c>
      <c r="B95" s="107" t="s">
        <v>157</v>
      </c>
      <c r="C95" s="72" t="s">
        <v>163</v>
      </c>
      <c r="D95" s="73" t="s">
        <v>170</v>
      </c>
      <c r="E95" s="115" t="s">
        <v>165</v>
      </c>
      <c r="F95" s="116" t="s">
        <v>4</v>
      </c>
      <c r="G95" s="75">
        <v>10.0</v>
      </c>
      <c r="H95" s="12">
        <f>Detail_avancement!B95</f>
        <v>15</v>
      </c>
      <c r="I95" s="21">
        <f t="shared" si="3"/>
        <v>-5</v>
      </c>
      <c r="J95" s="14">
        <f t="shared" si="2"/>
        <v>1.5</v>
      </c>
      <c r="K95" s="22"/>
    </row>
    <row r="96" ht="30.0" customHeight="1">
      <c r="A96" s="6">
        <v>98.0</v>
      </c>
      <c r="B96" s="110" t="s">
        <v>157</v>
      </c>
      <c r="C96" s="79" t="s">
        <v>163</v>
      </c>
      <c r="D96" s="80" t="s">
        <v>171</v>
      </c>
      <c r="E96" s="113" t="s">
        <v>165</v>
      </c>
      <c r="F96" s="114" t="s">
        <v>4</v>
      </c>
      <c r="G96" s="88">
        <v>15.0</v>
      </c>
      <c r="H96" s="12">
        <f>Detail_avancement!B96</f>
        <v>25</v>
      </c>
      <c r="I96" s="21">
        <f t="shared" si="3"/>
        <v>-10</v>
      </c>
      <c r="J96" s="14">
        <f t="shared" si="2"/>
        <v>1.666666667</v>
      </c>
      <c r="K96" s="22"/>
    </row>
    <row r="97" ht="30.0" customHeight="1">
      <c r="A97" s="6">
        <v>99.0</v>
      </c>
      <c r="B97" s="107" t="s">
        <v>157</v>
      </c>
      <c r="C97" s="72" t="s">
        <v>163</v>
      </c>
      <c r="D97" s="73" t="s">
        <v>172</v>
      </c>
      <c r="E97" s="115" t="s">
        <v>165</v>
      </c>
      <c r="F97" s="116" t="s">
        <v>4</v>
      </c>
      <c r="G97" s="86">
        <v>15.0</v>
      </c>
      <c r="H97" s="12">
        <f>Detail_avancement!B97</f>
        <v>19</v>
      </c>
      <c r="I97" s="21">
        <f t="shared" si="3"/>
        <v>-4</v>
      </c>
      <c r="J97" s="14">
        <f t="shared" si="2"/>
        <v>1.266666667</v>
      </c>
      <c r="K97" s="22"/>
    </row>
    <row r="98" ht="30.0" customHeight="1">
      <c r="A98" s="6">
        <v>100.0</v>
      </c>
      <c r="B98" s="110" t="s">
        <v>157</v>
      </c>
      <c r="C98" s="79" t="s">
        <v>163</v>
      </c>
      <c r="D98" s="80" t="s">
        <v>173</v>
      </c>
      <c r="E98" s="113" t="s">
        <v>165</v>
      </c>
      <c r="F98" s="114" t="s">
        <v>4</v>
      </c>
      <c r="G98" s="82">
        <v>10.0</v>
      </c>
      <c r="H98" s="12">
        <f>Detail_avancement!B98</f>
        <v>25</v>
      </c>
      <c r="I98" s="21">
        <f t="shared" si="3"/>
        <v>-15</v>
      </c>
      <c r="J98" s="14">
        <f t="shared" si="2"/>
        <v>2.5</v>
      </c>
      <c r="K98" s="22"/>
    </row>
    <row r="99" ht="30.0" customHeight="1">
      <c r="A99" s="6">
        <v>101.0</v>
      </c>
      <c r="B99" s="107" t="s">
        <v>157</v>
      </c>
      <c r="C99" s="72" t="s">
        <v>174</v>
      </c>
      <c r="D99" s="73" t="s">
        <v>175</v>
      </c>
      <c r="E99" s="115" t="s">
        <v>165</v>
      </c>
      <c r="F99" s="117" t="s">
        <v>6</v>
      </c>
      <c r="G99" s="75">
        <v>20.0</v>
      </c>
      <c r="H99" s="12">
        <f>Detail_avancement!B99</f>
        <v>20</v>
      </c>
      <c r="I99" s="21">
        <f t="shared" si="3"/>
        <v>0</v>
      </c>
      <c r="J99" s="14">
        <f t="shared" si="2"/>
        <v>1</v>
      </c>
      <c r="K99" s="22"/>
    </row>
    <row r="100" ht="30.0" customHeight="1">
      <c r="A100" s="6">
        <v>102.0</v>
      </c>
      <c r="B100" s="110" t="s">
        <v>157</v>
      </c>
      <c r="C100" s="79" t="s">
        <v>174</v>
      </c>
      <c r="D100" s="80" t="s">
        <v>176</v>
      </c>
      <c r="E100" s="113" t="s">
        <v>165</v>
      </c>
      <c r="F100" s="118" t="s">
        <v>6</v>
      </c>
      <c r="G100" s="82">
        <v>15.0</v>
      </c>
      <c r="H100" s="12">
        <f>Detail_avancement!B100</f>
        <v>20</v>
      </c>
      <c r="I100" s="21">
        <f t="shared" si="3"/>
        <v>-5</v>
      </c>
      <c r="J100" s="14">
        <f t="shared" si="2"/>
        <v>1.333333333</v>
      </c>
      <c r="K100" s="22"/>
    </row>
    <row r="101" ht="30.0" customHeight="1">
      <c r="A101" s="6">
        <v>103.0</v>
      </c>
      <c r="B101" s="107" t="s">
        <v>157</v>
      </c>
      <c r="C101" s="72" t="s">
        <v>174</v>
      </c>
      <c r="D101" s="73" t="s">
        <v>177</v>
      </c>
      <c r="E101" s="115" t="s">
        <v>165</v>
      </c>
      <c r="F101" s="117" t="s">
        <v>6</v>
      </c>
      <c r="G101" s="75">
        <v>15.0</v>
      </c>
      <c r="H101" s="12">
        <f>Detail_avancement!B101</f>
        <v>20</v>
      </c>
      <c r="I101" s="21">
        <f t="shared" si="3"/>
        <v>-5</v>
      </c>
      <c r="J101" s="14">
        <f t="shared" si="2"/>
        <v>1.333333333</v>
      </c>
      <c r="K101" s="22"/>
    </row>
    <row r="102" ht="30.0" customHeight="1">
      <c r="A102" s="6">
        <v>104.0</v>
      </c>
      <c r="B102" s="110" t="s">
        <v>157</v>
      </c>
      <c r="C102" s="79" t="s">
        <v>174</v>
      </c>
      <c r="D102" s="80" t="s">
        <v>178</v>
      </c>
      <c r="E102" s="113" t="s">
        <v>165</v>
      </c>
      <c r="F102" s="118" t="s">
        <v>6</v>
      </c>
      <c r="G102" s="82">
        <v>20.0</v>
      </c>
      <c r="H102" s="12">
        <f>Detail_avancement!B102</f>
        <v>20</v>
      </c>
      <c r="I102" s="21">
        <f t="shared" si="3"/>
        <v>0</v>
      </c>
      <c r="J102" s="14">
        <f t="shared" si="2"/>
        <v>1</v>
      </c>
      <c r="K102" s="22"/>
    </row>
    <row r="103" ht="30.0" customHeight="1">
      <c r="A103" s="6">
        <v>105.0</v>
      </c>
      <c r="B103" s="107" t="s">
        <v>157</v>
      </c>
      <c r="C103" s="72" t="s">
        <v>174</v>
      </c>
      <c r="D103" s="73" t="s">
        <v>179</v>
      </c>
      <c r="E103" s="115" t="s">
        <v>165</v>
      </c>
      <c r="F103" s="117" t="s">
        <v>6</v>
      </c>
      <c r="G103" s="75">
        <v>15.0</v>
      </c>
      <c r="H103" s="12">
        <f>Detail_avancement!B103</f>
        <v>20</v>
      </c>
      <c r="I103" s="21">
        <f t="shared" si="3"/>
        <v>-5</v>
      </c>
      <c r="J103" s="14">
        <f t="shared" si="2"/>
        <v>1.333333333</v>
      </c>
      <c r="K103" s="22"/>
    </row>
    <row r="104" ht="30.0" customHeight="1">
      <c r="A104" s="6">
        <v>106.0</v>
      </c>
      <c r="B104" s="110" t="s">
        <v>157</v>
      </c>
      <c r="C104" s="79" t="s">
        <v>180</v>
      </c>
      <c r="D104" s="80" t="s">
        <v>181</v>
      </c>
      <c r="E104" s="113" t="s">
        <v>165</v>
      </c>
      <c r="F104" s="119" t="s">
        <v>2</v>
      </c>
      <c r="G104" s="88">
        <v>20.0</v>
      </c>
      <c r="H104" s="12">
        <f>Detail_avancement!B104</f>
        <v>20</v>
      </c>
      <c r="I104" s="21">
        <f t="shared" si="3"/>
        <v>0</v>
      </c>
      <c r="J104" s="14">
        <f t="shared" si="2"/>
        <v>1</v>
      </c>
      <c r="K104" s="22"/>
    </row>
    <row r="105" ht="30.0" customHeight="1">
      <c r="A105" s="6">
        <v>107.0</v>
      </c>
      <c r="B105" s="107" t="s">
        <v>157</v>
      </c>
      <c r="C105" s="72" t="s">
        <v>180</v>
      </c>
      <c r="D105" s="73" t="s">
        <v>182</v>
      </c>
      <c r="E105" s="115" t="s">
        <v>165</v>
      </c>
      <c r="F105" s="120" t="s">
        <v>2</v>
      </c>
      <c r="G105" s="75">
        <v>15.0</v>
      </c>
      <c r="H105" s="12">
        <f>Detail_avancement!B105</f>
        <v>10</v>
      </c>
      <c r="I105" s="21">
        <f t="shared" si="3"/>
        <v>5</v>
      </c>
      <c r="J105" s="14">
        <f t="shared" si="2"/>
        <v>0.6666666667</v>
      </c>
      <c r="K105" s="22"/>
    </row>
    <row r="106" ht="30.0" customHeight="1">
      <c r="A106" s="6">
        <v>108.0</v>
      </c>
      <c r="B106" s="110" t="s">
        <v>157</v>
      </c>
      <c r="C106" s="79" t="s">
        <v>180</v>
      </c>
      <c r="D106" s="80" t="s">
        <v>183</v>
      </c>
      <c r="E106" s="111" t="s">
        <v>34</v>
      </c>
      <c r="F106" s="119" t="s">
        <v>2</v>
      </c>
      <c r="G106" s="82">
        <v>30.0</v>
      </c>
      <c r="H106" s="12">
        <f>Detail_avancement!B106</f>
        <v>30</v>
      </c>
      <c r="I106" s="21">
        <f t="shared" si="3"/>
        <v>0</v>
      </c>
      <c r="J106" s="14">
        <f t="shared" si="2"/>
        <v>1</v>
      </c>
      <c r="K106" s="22"/>
    </row>
    <row r="107" ht="30.0" customHeight="1">
      <c r="A107" s="6">
        <v>109.0</v>
      </c>
      <c r="B107" s="107" t="s">
        <v>157</v>
      </c>
      <c r="C107" s="72" t="s">
        <v>180</v>
      </c>
      <c r="D107" s="73" t="s">
        <v>184</v>
      </c>
      <c r="E107" s="108" t="s">
        <v>34</v>
      </c>
      <c r="F107" s="120" t="s">
        <v>2</v>
      </c>
      <c r="G107" s="86">
        <v>30.0</v>
      </c>
      <c r="H107" s="12">
        <f>Detail_avancement!B107</f>
        <v>30</v>
      </c>
      <c r="I107" s="21">
        <f t="shared" si="3"/>
        <v>0</v>
      </c>
      <c r="J107" s="14">
        <f t="shared" si="2"/>
        <v>1</v>
      </c>
      <c r="K107" s="22"/>
    </row>
    <row r="108" ht="30.0" customHeight="1">
      <c r="A108" s="6">
        <v>110.0</v>
      </c>
      <c r="B108" s="110" t="s">
        <v>157</v>
      </c>
      <c r="C108" s="79" t="s">
        <v>180</v>
      </c>
      <c r="D108" s="80" t="s">
        <v>185</v>
      </c>
      <c r="E108" s="113" t="s">
        <v>165</v>
      </c>
      <c r="F108" s="119" t="s">
        <v>2</v>
      </c>
      <c r="G108" s="88">
        <v>30.0</v>
      </c>
      <c r="H108" s="12">
        <f>Detail_avancement!B108</f>
        <v>35</v>
      </c>
      <c r="I108" s="21">
        <f t="shared" si="3"/>
        <v>-5</v>
      </c>
      <c r="J108" s="14">
        <f t="shared" si="2"/>
        <v>1.166666667</v>
      </c>
      <c r="K108" s="22"/>
    </row>
    <row r="109" ht="30.0" customHeight="1">
      <c r="A109" s="6">
        <v>111.0</v>
      </c>
      <c r="B109" s="107" t="s">
        <v>157</v>
      </c>
      <c r="C109" s="72" t="s">
        <v>180</v>
      </c>
      <c r="D109" s="73" t="s">
        <v>186</v>
      </c>
      <c r="E109" s="115" t="s">
        <v>165</v>
      </c>
      <c r="F109" s="109" t="s">
        <v>0</v>
      </c>
      <c r="G109" s="75">
        <v>15.0</v>
      </c>
      <c r="H109" s="12">
        <f>Detail_avancement!B109</f>
        <v>20</v>
      </c>
      <c r="I109" s="21">
        <f t="shared" si="3"/>
        <v>-5</v>
      </c>
      <c r="J109" s="14">
        <f t="shared" si="2"/>
        <v>1.333333333</v>
      </c>
      <c r="K109" s="22"/>
    </row>
    <row r="110" ht="30.0" customHeight="1">
      <c r="A110" s="6">
        <v>112.0</v>
      </c>
      <c r="B110" s="110" t="s">
        <v>157</v>
      </c>
      <c r="C110" s="79" t="s">
        <v>180</v>
      </c>
      <c r="D110" s="80" t="s">
        <v>187</v>
      </c>
      <c r="E110" s="113" t="s">
        <v>165</v>
      </c>
      <c r="F110" s="112" t="s">
        <v>0</v>
      </c>
      <c r="G110" s="82">
        <v>15.0</v>
      </c>
      <c r="H110" s="12">
        <f>Detail_avancement!B110</f>
        <v>15</v>
      </c>
      <c r="I110" s="21">
        <f t="shared" si="3"/>
        <v>0</v>
      </c>
      <c r="J110" s="14">
        <f t="shared" si="2"/>
        <v>1</v>
      </c>
      <c r="K110" s="22"/>
    </row>
    <row r="111" ht="30.0" customHeight="1">
      <c r="A111" s="6">
        <v>113.0</v>
      </c>
      <c r="B111" s="107" t="s">
        <v>157</v>
      </c>
      <c r="C111" s="72" t="s">
        <v>180</v>
      </c>
      <c r="D111" s="73" t="s">
        <v>188</v>
      </c>
      <c r="E111" s="115" t="s">
        <v>165</v>
      </c>
      <c r="F111" s="109" t="s">
        <v>0</v>
      </c>
      <c r="G111" s="75">
        <v>20.0</v>
      </c>
      <c r="H111" s="12">
        <f>Detail_avancement!B111</f>
        <v>20</v>
      </c>
      <c r="I111" s="21">
        <f t="shared" si="3"/>
        <v>0</v>
      </c>
      <c r="J111" s="14">
        <f t="shared" si="2"/>
        <v>1</v>
      </c>
      <c r="K111" s="22"/>
    </row>
    <row r="112" ht="30.0" customHeight="1">
      <c r="A112" s="6">
        <v>114.0</v>
      </c>
      <c r="B112" s="110" t="s">
        <v>157</v>
      </c>
      <c r="C112" s="79" t="s">
        <v>180</v>
      </c>
      <c r="D112" s="80" t="s">
        <v>189</v>
      </c>
      <c r="E112" s="113" t="s">
        <v>165</v>
      </c>
      <c r="F112" s="112" t="s">
        <v>0</v>
      </c>
      <c r="G112" s="82">
        <v>20.0</v>
      </c>
      <c r="H112" s="12">
        <f>Detail_avancement!B112</f>
        <v>27</v>
      </c>
      <c r="I112" s="21">
        <f t="shared" si="3"/>
        <v>-7</v>
      </c>
      <c r="J112" s="14">
        <f t="shared" si="2"/>
        <v>1.35</v>
      </c>
      <c r="K112" s="22"/>
    </row>
    <row r="113" ht="30.0" customHeight="1">
      <c r="A113" s="6">
        <v>115.0</v>
      </c>
      <c r="B113" s="107" t="s">
        <v>157</v>
      </c>
      <c r="C113" s="72" t="s">
        <v>180</v>
      </c>
      <c r="D113" s="73" t="s">
        <v>190</v>
      </c>
      <c r="E113" s="108" t="s">
        <v>34</v>
      </c>
      <c r="F113" s="109" t="s">
        <v>0</v>
      </c>
      <c r="G113" s="75">
        <v>20.0</v>
      </c>
      <c r="H113" s="12">
        <f>Detail_avancement!B113</f>
        <v>20</v>
      </c>
      <c r="I113" s="21">
        <f t="shared" si="3"/>
        <v>0</v>
      </c>
      <c r="J113" s="14">
        <f t="shared" si="2"/>
        <v>1</v>
      </c>
      <c r="K113" s="22"/>
    </row>
    <row r="114" ht="30.0" customHeight="1">
      <c r="A114" s="6">
        <v>116.0</v>
      </c>
      <c r="B114" s="110" t="s">
        <v>157</v>
      </c>
      <c r="C114" s="79" t="s">
        <v>191</v>
      </c>
      <c r="D114" s="80" t="s">
        <v>192</v>
      </c>
      <c r="E114" s="121" t="s">
        <v>193</v>
      </c>
      <c r="F114" s="114" t="s">
        <v>4</v>
      </c>
      <c r="G114" s="82">
        <v>30.0</v>
      </c>
      <c r="H114" s="12">
        <f>Detail_avancement!B114</f>
        <v>40</v>
      </c>
      <c r="I114" s="21">
        <f t="shared" si="3"/>
        <v>-10</v>
      </c>
      <c r="J114" s="14">
        <f t="shared" si="2"/>
        <v>1.333333333</v>
      </c>
      <c r="K114" s="22"/>
    </row>
    <row r="115" ht="30.0" customHeight="1">
      <c r="A115" s="6">
        <v>117.0</v>
      </c>
      <c r="B115" s="107" t="s">
        <v>157</v>
      </c>
      <c r="C115" s="72" t="s">
        <v>191</v>
      </c>
      <c r="D115" s="73" t="s">
        <v>194</v>
      </c>
      <c r="E115" s="122" t="s">
        <v>193</v>
      </c>
      <c r="F115" s="116" t="s">
        <v>4</v>
      </c>
      <c r="G115" s="75">
        <v>20.0</v>
      </c>
      <c r="H115" s="12">
        <f>Detail_avancement!B115</f>
        <v>20</v>
      </c>
      <c r="I115" s="21">
        <f t="shared" si="3"/>
        <v>0</v>
      </c>
      <c r="J115" s="14">
        <f t="shared" si="2"/>
        <v>1</v>
      </c>
      <c r="K115" s="22"/>
    </row>
    <row r="116" ht="30.0" customHeight="1">
      <c r="A116" s="6">
        <v>118.0</v>
      </c>
      <c r="B116" s="110" t="s">
        <v>157</v>
      </c>
      <c r="C116" s="79" t="s">
        <v>191</v>
      </c>
      <c r="D116" s="80" t="s">
        <v>195</v>
      </c>
      <c r="E116" s="121" t="s">
        <v>193</v>
      </c>
      <c r="F116" s="114" t="s">
        <v>4</v>
      </c>
      <c r="G116" s="82">
        <v>10.0</v>
      </c>
      <c r="H116" s="12">
        <f>Detail_avancement!B116</f>
        <v>10</v>
      </c>
      <c r="I116" s="21">
        <f t="shared" si="3"/>
        <v>0</v>
      </c>
      <c r="J116" s="14">
        <f t="shared" si="2"/>
        <v>1</v>
      </c>
      <c r="K116" s="22"/>
    </row>
    <row r="117" ht="30.0" customHeight="1">
      <c r="A117" s="6">
        <v>119.0</v>
      </c>
      <c r="B117" s="107" t="s">
        <v>157</v>
      </c>
      <c r="C117" s="72" t="s">
        <v>191</v>
      </c>
      <c r="D117" s="73" t="s">
        <v>196</v>
      </c>
      <c r="E117" s="122" t="s">
        <v>193</v>
      </c>
      <c r="F117" s="116" t="s">
        <v>4</v>
      </c>
      <c r="G117" s="86">
        <v>30.0</v>
      </c>
      <c r="H117" s="12">
        <f>Detail_avancement!B117</f>
        <v>25</v>
      </c>
      <c r="I117" s="21">
        <f t="shared" si="3"/>
        <v>5</v>
      </c>
      <c r="J117" s="14">
        <f t="shared" si="2"/>
        <v>0.8333333333</v>
      </c>
      <c r="K117" s="22"/>
    </row>
    <row r="118" ht="30.0" customHeight="1">
      <c r="A118" s="6">
        <v>120.0</v>
      </c>
      <c r="B118" s="110" t="s">
        <v>157</v>
      </c>
      <c r="C118" s="79" t="s">
        <v>191</v>
      </c>
      <c r="D118" s="80" t="s">
        <v>197</v>
      </c>
      <c r="E118" s="121" t="s">
        <v>193</v>
      </c>
      <c r="F118" s="114" t="s">
        <v>4</v>
      </c>
      <c r="G118" s="82">
        <v>20.0</v>
      </c>
      <c r="H118" s="12">
        <f>Detail_avancement!B118</f>
        <v>20</v>
      </c>
      <c r="I118" s="21">
        <f t="shared" si="3"/>
        <v>0</v>
      </c>
      <c r="J118" s="14">
        <f t="shared" si="2"/>
        <v>1</v>
      </c>
      <c r="K118" s="22"/>
    </row>
    <row r="119" ht="30.0" customHeight="1">
      <c r="A119" s="6">
        <v>121.0</v>
      </c>
      <c r="B119" s="123" t="s">
        <v>198</v>
      </c>
      <c r="C119" s="124" t="s">
        <v>199</v>
      </c>
      <c r="D119" s="80" t="s">
        <v>200</v>
      </c>
      <c r="E119" s="125" t="s">
        <v>22</v>
      </c>
      <c r="F119" s="126" t="s">
        <v>2</v>
      </c>
      <c r="G119" s="127">
        <v>20.0</v>
      </c>
      <c r="H119" s="12">
        <f>Detail_avancement!B119</f>
        <v>23</v>
      </c>
      <c r="I119" s="21">
        <f t="shared" si="3"/>
        <v>-3</v>
      </c>
      <c r="J119" s="14">
        <f t="shared" si="2"/>
        <v>1.15</v>
      </c>
      <c r="K119" s="22"/>
    </row>
    <row r="120" ht="30.0" customHeight="1">
      <c r="A120" s="6">
        <v>122.0</v>
      </c>
      <c r="B120" s="123" t="s">
        <v>198</v>
      </c>
      <c r="C120" s="124" t="s">
        <v>199</v>
      </c>
      <c r="D120" s="73" t="s">
        <v>201</v>
      </c>
      <c r="E120" s="125" t="s">
        <v>22</v>
      </c>
      <c r="F120" s="128" t="s">
        <v>2</v>
      </c>
      <c r="G120" s="127">
        <v>15.0</v>
      </c>
      <c r="H120" s="12">
        <f>Detail_avancement!B120</f>
        <v>15</v>
      </c>
      <c r="I120" s="21">
        <f t="shared" si="3"/>
        <v>0</v>
      </c>
      <c r="J120" s="14">
        <f t="shared" si="2"/>
        <v>1</v>
      </c>
      <c r="K120" s="22"/>
    </row>
    <row r="121" ht="30.0" customHeight="1">
      <c r="A121" s="6">
        <v>123.0</v>
      </c>
      <c r="B121" s="123" t="s">
        <v>198</v>
      </c>
      <c r="C121" s="124" t="s">
        <v>199</v>
      </c>
      <c r="D121" s="80" t="s">
        <v>202</v>
      </c>
      <c r="E121" s="125" t="s">
        <v>22</v>
      </c>
      <c r="F121" s="129" t="s">
        <v>0</v>
      </c>
      <c r="G121" s="127">
        <v>20.0</v>
      </c>
      <c r="H121" s="12">
        <f>Detail_avancement!B121</f>
        <v>20</v>
      </c>
      <c r="I121" s="21">
        <f t="shared" si="3"/>
        <v>0</v>
      </c>
      <c r="J121" s="14">
        <f t="shared" si="2"/>
        <v>1</v>
      </c>
      <c r="K121" s="22"/>
    </row>
    <row r="122" ht="30.0" customHeight="1">
      <c r="A122" s="6">
        <v>124.0</v>
      </c>
      <c r="B122" s="123" t="s">
        <v>198</v>
      </c>
      <c r="C122" s="124" t="s">
        <v>203</v>
      </c>
      <c r="D122" s="73" t="s">
        <v>204</v>
      </c>
      <c r="E122" s="125" t="s">
        <v>34</v>
      </c>
      <c r="F122" s="130" t="s">
        <v>0</v>
      </c>
      <c r="G122" s="127">
        <v>10.0</v>
      </c>
      <c r="H122" s="12">
        <f>Detail_avancement!B122</f>
        <v>10</v>
      </c>
      <c r="I122" s="21">
        <f t="shared" si="3"/>
        <v>0</v>
      </c>
      <c r="J122" s="14">
        <f t="shared" si="2"/>
        <v>1</v>
      </c>
      <c r="K122" s="22"/>
    </row>
    <row r="123" ht="30.0" customHeight="1">
      <c r="A123" s="6">
        <v>125.0</v>
      </c>
      <c r="B123" s="123" t="s">
        <v>198</v>
      </c>
      <c r="C123" s="124" t="s">
        <v>205</v>
      </c>
      <c r="D123" s="80" t="s">
        <v>206</v>
      </c>
      <c r="E123" s="125" t="s">
        <v>76</v>
      </c>
      <c r="F123" s="126" t="s">
        <v>0</v>
      </c>
      <c r="G123" s="127">
        <v>20.0</v>
      </c>
      <c r="H123" s="12">
        <f>Detail_avancement!B123</f>
        <v>25</v>
      </c>
      <c r="I123" s="21">
        <f t="shared" si="3"/>
        <v>-5</v>
      </c>
      <c r="J123" s="14">
        <f t="shared" si="2"/>
        <v>1.25</v>
      </c>
      <c r="K123" s="22"/>
    </row>
    <row r="124" ht="30.0" customHeight="1">
      <c r="A124" s="6">
        <v>126.0</v>
      </c>
      <c r="B124" s="123" t="s">
        <v>198</v>
      </c>
      <c r="C124" s="124" t="s">
        <v>205</v>
      </c>
      <c r="D124" s="73" t="s">
        <v>207</v>
      </c>
      <c r="E124" s="125" t="s">
        <v>76</v>
      </c>
      <c r="F124" s="131" t="s">
        <v>0</v>
      </c>
      <c r="G124" s="127">
        <v>20.0</v>
      </c>
      <c r="H124" s="12">
        <f>Detail_avancement!B124</f>
        <v>25</v>
      </c>
      <c r="I124" s="21">
        <f t="shared" si="3"/>
        <v>-5</v>
      </c>
      <c r="J124" s="14">
        <f t="shared" si="2"/>
        <v>1.25</v>
      </c>
      <c r="K124" s="22"/>
    </row>
    <row r="125" ht="30.0" customHeight="1">
      <c r="A125" s="6">
        <v>127.0</v>
      </c>
      <c r="B125" s="123" t="s">
        <v>198</v>
      </c>
      <c r="C125" s="124" t="s">
        <v>205</v>
      </c>
      <c r="D125" s="80" t="s">
        <v>208</v>
      </c>
      <c r="E125" s="125" t="s">
        <v>22</v>
      </c>
      <c r="F125" s="132" t="s">
        <v>6</v>
      </c>
      <c r="G125" s="127">
        <v>20.0</v>
      </c>
      <c r="H125" s="12">
        <f>Detail_avancement!B125</f>
        <v>20</v>
      </c>
      <c r="I125" s="21">
        <f t="shared" si="3"/>
        <v>0</v>
      </c>
      <c r="J125" s="14">
        <f t="shared" si="2"/>
        <v>1</v>
      </c>
      <c r="K125" s="22"/>
    </row>
    <row r="126" ht="30.0" customHeight="1">
      <c r="A126" s="6">
        <v>128.0</v>
      </c>
      <c r="B126" s="123" t="s">
        <v>198</v>
      </c>
      <c r="C126" s="124" t="s">
        <v>205</v>
      </c>
      <c r="D126" s="73" t="s">
        <v>209</v>
      </c>
      <c r="E126" s="125" t="s">
        <v>34</v>
      </c>
      <c r="F126" s="131" t="s">
        <v>4</v>
      </c>
      <c r="G126" s="133">
        <v>15.0</v>
      </c>
      <c r="H126" s="12">
        <f>Detail_avancement!B126</f>
        <v>15</v>
      </c>
      <c r="I126" s="21">
        <f t="shared" si="3"/>
        <v>0</v>
      </c>
      <c r="J126" s="14">
        <f t="shared" si="2"/>
        <v>1</v>
      </c>
      <c r="K126" s="22"/>
    </row>
    <row r="127" ht="30.0" customHeight="1">
      <c r="A127" s="6">
        <v>129.0</v>
      </c>
      <c r="B127" s="123" t="s">
        <v>198</v>
      </c>
      <c r="C127" s="124" t="s">
        <v>210</v>
      </c>
      <c r="D127" s="80" t="s">
        <v>211</v>
      </c>
      <c r="E127" s="125" t="s">
        <v>76</v>
      </c>
      <c r="F127" s="126" t="s">
        <v>4</v>
      </c>
      <c r="G127" s="127">
        <v>10.0</v>
      </c>
      <c r="H127" s="12">
        <f>Detail_avancement!B127</f>
        <v>10</v>
      </c>
      <c r="I127" s="21">
        <f t="shared" si="3"/>
        <v>0</v>
      </c>
      <c r="J127" s="14">
        <f t="shared" si="2"/>
        <v>1</v>
      </c>
      <c r="K127" s="22"/>
    </row>
    <row r="128" ht="30.0" customHeight="1">
      <c r="A128" s="6">
        <v>130.0</v>
      </c>
      <c r="B128" s="123" t="s">
        <v>198</v>
      </c>
      <c r="C128" s="124" t="s">
        <v>210</v>
      </c>
      <c r="D128" s="73" t="s">
        <v>212</v>
      </c>
      <c r="E128" s="125" t="s">
        <v>22</v>
      </c>
      <c r="F128" s="134" t="s">
        <v>6</v>
      </c>
      <c r="G128" s="127">
        <v>30.0</v>
      </c>
      <c r="H128" s="12">
        <f>Detail_avancement!B128</f>
        <v>30</v>
      </c>
      <c r="I128" s="21">
        <f t="shared" si="3"/>
        <v>0</v>
      </c>
      <c r="J128" s="14">
        <f t="shared" si="2"/>
        <v>1</v>
      </c>
      <c r="K128" s="22"/>
    </row>
    <row r="129" ht="30.0" customHeight="1">
      <c r="A129" s="6">
        <v>131.0</v>
      </c>
      <c r="B129" s="123" t="s">
        <v>198</v>
      </c>
      <c r="C129" s="124" t="s">
        <v>213</v>
      </c>
      <c r="D129" s="80" t="s">
        <v>214</v>
      </c>
      <c r="E129" s="125" t="s">
        <v>76</v>
      </c>
      <c r="F129" s="126" t="s">
        <v>0</v>
      </c>
      <c r="G129" s="127">
        <v>20.0</v>
      </c>
      <c r="H129" s="12">
        <f>Detail_avancement!B129</f>
        <v>20</v>
      </c>
      <c r="I129" s="21">
        <f t="shared" si="3"/>
        <v>0</v>
      </c>
      <c r="J129" s="14">
        <f t="shared" si="2"/>
        <v>1</v>
      </c>
      <c r="K129" s="22"/>
    </row>
    <row r="130" ht="30.0" customHeight="1">
      <c r="A130" s="6">
        <v>132.0</v>
      </c>
      <c r="B130" s="123" t="s">
        <v>198</v>
      </c>
      <c r="C130" s="124" t="s">
        <v>215</v>
      </c>
      <c r="D130" s="73" t="s">
        <v>216</v>
      </c>
      <c r="E130" s="125" t="s">
        <v>34</v>
      </c>
      <c r="F130" s="131" t="s">
        <v>0</v>
      </c>
      <c r="G130" s="127">
        <v>10.0</v>
      </c>
      <c r="H130" s="12">
        <f>Detail_avancement!B130</f>
        <v>10</v>
      </c>
      <c r="I130" s="21">
        <f t="shared" si="3"/>
        <v>0</v>
      </c>
      <c r="J130" s="14">
        <f t="shared" si="2"/>
        <v>1</v>
      </c>
      <c r="K130" s="22"/>
    </row>
    <row r="131" ht="30.0" customHeight="1">
      <c r="A131" s="6">
        <v>133.0</v>
      </c>
      <c r="B131" s="123" t="s">
        <v>198</v>
      </c>
      <c r="C131" s="124" t="s">
        <v>215</v>
      </c>
      <c r="D131" s="80" t="s">
        <v>217</v>
      </c>
      <c r="E131" s="125" t="s">
        <v>84</v>
      </c>
      <c r="F131" s="126" t="s">
        <v>0</v>
      </c>
      <c r="G131" s="127">
        <v>20.0</v>
      </c>
      <c r="H131" s="12">
        <f>Detail_avancement!B131</f>
        <v>20</v>
      </c>
      <c r="I131" s="21">
        <f t="shared" si="3"/>
        <v>0</v>
      </c>
      <c r="J131" s="14">
        <f t="shared" si="2"/>
        <v>1</v>
      </c>
      <c r="K131" s="22"/>
    </row>
    <row r="132" ht="30.0" customHeight="1">
      <c r="A132" s="6">
        <v>134.0</v>
      </c>
      <c r="B132" s="123" t="s">
        <v>198</v>
      </c>
      <c r="C132" s="124" t="s">
        <v>218</v>
      </c>
      <c r="D132" s="73" t="s">
        <v>219</v>
      </c>
      <c r="E132" s="125" t="s">
        <v>30</v>
      </c>
      <c r="F132" s="134" t="s">
        <v>6</v>
      </c>
      <c r="G132" s="127">
        <v>30.0</v>
      </c>
      <c r="H132" s="12">
        <f>Detail_avancement!B132</f>
        <v>30</v>
      </c>
      <c r="I132" s="21">
        <f t="shared" si="3"/>
        <v>0</v>
      </c>
      <c r="J132" s="14">
        <f t="shared" si="2"/>
        <v>1</v>
      </c>
      <c r="K132" s="22"/>
    </row>
    <row r="133" ht="30.0" customHeight="1">
      <c r="A133" s="6">
        <v>135.0</v>
      </c>
      <c r="B133" s="123" t="s">
        <v>198</v>
      </c>
      <c r="C133" s="124" t="s">
        <v>213</v>
      </c>
      <c r="D133" s="93" t="s">
        <v>220</v>
      </c>
      <c r="E133" s="125" t="s">
        <v>76</v>
      </c>
      <c r="F133" s="135" t="s">
        <v>0</v>
      </c>
      <c r="G133" s="127">
        <v>20.0</v>
      </c>
      <c r="H133" s="12">
        <f>Detail_avancement!B133</f>
        <v>23</v>
      </c>
      <c r="I133" s="21">
        <f t="shared" si="3"/>
        <v>-3</v>
      </c>
      <c r="J133" s="14">
        <f t="shared" si="2"/>
        <v>1.15</v>
      </c>
      <c r="K133" s="22"/>
    </row>
    <row r="134" ht="30.0" customHeight="1">
      <c r="A134" s="6">
        <v>136.0</v>
      </c>
      <c r="B134" s="136" t="s">
        <v>198</v>
      </c>
      <c r="C134" s="124" t="s">
        <v>218</v>
      </c>
      <c r="D134" s="100" t="s">
        <v>221</v>
      </c>
      <c r="E134" s="125" t="s">
        <v>30</v>
      </c>
      <c r="F134" s="137" t="s">
        <v>2</v>
      </c>
      <c r="G134" s="127">
        <v>10.0</v>
      </c>
      <c r="H134" s="12">
        <f>Detail_avancement!B134</f>
        <v>12</v>
      </c>
      <c r="I134" s="21">
        <f t="shared" si="3"/>
        <v>-2</v>
      </c>
      <c r="J134" s="14">
        <f t="shared" si="2"/>
        <v>1.2</v>
      </c>
      <c r="K134" s="63"/>
    </row>
    <row r="135" ht="30.0" customHeight="1">
      <c r="A135" s="6">
        <v>137.0</v>
      </c>
      <c r="B135" s="138" t="s">
        <v>198</v>
      </c>
      <c r="C135" s="139" t="s">
        <v>222</v>
      </c>
      <c r="D135" s="140" t="s">
        <v>223</v>
      </c>
      <c r="E135" s="125" t="s">
        <v>165</v>
      </c>
      <c r="F135" s="141" t="s">
        <v>0</v>
      </c>
      <c r="G135" s="142">
        <v>20.0</v>
      </c>
      <c r="H135" s="12">
        <f>Detail_avancement!B135</f>
        <v>30</v>
      </c>
      <c r="I135" s="21">
        <f t="shared" si="3"/>
        <v>-10</v>
      </c>
      <c r="J135" s="14">
        <f t="shared" si="2"/>
        <v>1.5</v>
      </c>
      <c r="K135" s="63"/>
    </row>
    <row r="136" ht="30.0" customHeight="1">
      <c r="A136" s="6">
        <v>138.0</v>
      </c>
      <c r="B136" s="138" t="s">
        <v>198</v>
      </c>
      <c r="C136" s="139" t="s">
        <v>224</v>
      </c>
      <c r="D136" s="140" t="s">
        <v>225</v>
      </c>
      <c r="E136" s="125" t="s">
        <v>34</v>
      </c>
      <c r="F136" s="141" t="s">
        <v>0</v>
      </c>
      <c r="G136" s="142">
        <v>30.0</v>
      </c>
      <c r="H136" s="12">
        <f>Detail_avancement!B136</f>
        <v>30</v>
      </c>
      <c r="I136" s="21">
        <f t="shared" si="3"/>
        <v>0</v>
      </c>
      <c r="J136" s="14">
        <f t="shared" si="2"/>
        <v>1</v>
      </c>
      <c r="K136" s="63"/>
    </row>
    <row r="137" ht="30.0" customHeight="1">
      <c r="A137" s="6">
        <v>139.0</v>
      </c>
      <c r="B137" s="138" t="s">
        <v>198</v>
      </c>
      <c r="C137" s="139" t="s">
        <v>226</v>
      </c>
      <c r="D137" s="140" t="s">
        <v>227</v>
      </c>
      <c r="E137" s="125" t="s">
        <v>76</v>
      </c>
      <c r="F137" s="141" t="s">
        <v>0</v>
      </c>
      <c r="G137" s="142">
        <v>30.0</v>
      </c>
      <c r="H137" s="12">
        <f>Detail_avancement!B137</f>
        <v>60</v>
      </c>
      <c r="I137" s="21">
        <f t="shared" si="3"/>
        <v>-30</v>
      </c>
      <c r="J137" s="14">
        <f t="shared" si="2"/>
        <v>2</v>
      </c>
      <c r="K137" s="63"/>
    </row>
    <row r="138" ht="30.0" customHeight="1">
      <c r="A138" s="6">
        <v>140.0</v>
      </c>
      <c r="B138" s="138" t="s">
        <v>198</v>
      </c>
      <c r="C138" s="139" t="s">
        <v>228</v>
      </c>
      <c r="D138" s="140" t="s">
        <v>229</v>
      </c>
      <c r="E138" s="125" t="s">
        <v>165</v>
      </c>
      <c r="F138" s="141" t="s">
        <v>0</v>
      </c>
      <c r="G138" s="142">
        <v>10.0</v>
      </c>
      <c r="H138" s="12">
        <f>Detail_avancement!B138</f>
        <v>15</v>
      </c>
      <c r="I138" s="21">
        <f t="shared" si="3"/>
        <v>-5</v>
      </c>
      <c r="J138" s="14">
        <f t="shared" si="2"/>
        <v>1.5</v>
      </c>
      <c r="K138" s="63"/>
    </row>
    <row r="139" ht="30.0" customHeight="1">
      <c r="A139" s="6">
        <v>141.0</v>
      </c>
      <c r="B139" s="138" t="s">
        <v>92</v>
      </c>
      <c r="C139" s="139" t="s">
        <v>42</v>
      </c>
      <c r="D139" s="140" t="s">
        <v>230</v>
      </c>
      <c r="E139" s="125" t="s">
        <v>34</v>
      </c>
      <c r="F139" s="141" t="s">
        <v>6</v>
      </c>
      <c r="G139" s="142">
        <v>20.0</v>
      </c>
      <c r="H139" s="12">
        <f>Detail_avancement!B139</f>
        <v>30</v>
      </c>
      <c r="I139" s="21">
        <f t="shared" si="3"/>
        <v>-10</v>
      </c>
      <c r="J139" s="14">
        <f t="shared" si="2"/>
        <v>1.5</v>
      </c>
      <c r="K139" s="63"/>
    </row>
    <row r="140" ht="30.0" customHeight="1">
      <c r="A140" s="6">
        <v>142.0</v>
      </c>
      <c r="B140" s="138" t="s">
        <v>92</v>
      </c>
      <c r="C140" s="143" t="s">
        <v>110</v>
      </c>
      <c r="D140" s="144" t="s">
        <v>231</v>
      </c>
      <c r="E140" s="125" t="s">
        <v>34</v>
      </c>
      <c r="F140" s="141" t="s">
        <v>6</v>
      </c>
      <c r="G140" s="142">
        <v>30.0</v>
      </c>
      <c r="H140" s="12">
        <f>Detail_avancement!B140</f>
        <v>20</v>
      </c>
      <c r="I140" s="21">
        <f t="shared" si="3"/>
        <v>10</v>
      </c>
      <c r="J140" s="14">
        <f t="shared" si="2"/>
        <v>0.6666666667</v>
      </c>
      <c r="K140" s="63"/>
    </row>
    <row r="141" ht="30.0" customHeight="1">
      <c r="A141" s="6">
        <v>143.0</v>
      </c>
      <c r="B141" s="138" t="s">
        <v>198</v>
      </c>
      <c r="C141" s="143" t="s">
        <v>22</v>
      </c>
      <c r="D141" s="144" t="s">
        <v>232</v>
      </c>
      <c r="E141" s="125" t="s">
        <v>22</v>
      </c>
      <c r="F141" s="141" t="s">
        <v>0</v>
      </c>
      <c r="G141" s="142">
        <v>5.0</v>
      </c>
      <c r="H141" s="12">
        <f>Detail_avancement!B141</f>
        <v>5</v>
      </c>
      <c r="I141" s="21">
        <f t="shared" si="3"/>
        <v>0</v>
      </c>
      <c r="J141" s="14">
        <f t="shared" si="2"/>
        <v>1</v>
      </c>
      <c r="K141" s="63"/>
    </row>
    <row r="142" ht="30.0" customHeight="1">
      <c r="A142" s="6">
        <v>144.0</v>
      </c>
      <c r="B142" s="138" t="s">
        <v>198</v>
      </c>
      <c r="C142" s="143" t="s">
        <v>233</v>
      </c>
      <c r="D142" s="144" t="s">
        <v>234</v>
      </c>
      <c r="E142" s="125" t="s">
        <v>22</v>
      </c>
      <c r="F142" s="141" t="s">
        <v>0</v>
      </c>
      <c r="G142" s="142">
        <v>5.0</v>
      </c>
      <c r="H142" s="12">
        <v>5.0</v>
      </c>
      <c r="I142" s="21">
        <f t="shared" si="3"/>
        <v>0</v>
      </c>
      <c r="J142" s="14">
        <f t="shared" si="2"/>
        <v>1</v>
      </c>
      <c r="K142" s="63"/>
    </row>
    <row r="143" ht="30.0" customHeight="1">
      <c r="A143" s="6">
        <v>145.0</v>
      </c>
      <c r="B143" s="138" t="s">
        <v>92</v>
      </c>
      <c r="C143" s="143" t="s">
        <v>34</v>
      </c>
      <c r="D143" s="144" t="s">
        <v>235</v>
      </c>
      <c r="E143" s="125" t="s">
        <v>76</v>
      </c>
      <c r="F143" s="141" t="s">
        <v>6</v>
      </c>
      <c r="G143" s="142">
        <v>30.0</v>
      </c>
      <c r="H143" s="12">
        <f>Detail_avancement!B143</f>
        <v>45</v>
      </c>
      <c r="I143" s="21">
        <f t="shared" si="3"/>
        <v>-15</v>
      </c>
      <c r="J143" s="14">
        <f t="shared" si="2"/>
        <v>1.5</v>
      </c>
      <c r="K143" s="63"/>
    </row>
    <row r="144" ht="30.0" customHeight="1">
      <c r="A144" s="6">
        <v>146.0</v>
      </c>
      <c r="B144" s="138" t="s">
        <v>92</v>
      </c>
      <c r="C144" s="143" t="s">
        <v>34</v>
      </c>
      <c r="D144" s="144" t="s">
        <v>236</v>
      </c>
      <c r="E144" s="125" t="s">
        <v>34</v>
      </c>
      <c r="F144" s="141" t="s">
        <v>6</v>
      </c>
      <c r="G144" s="142">
        <v>15.0</v>
      </c>
      <c r="H144" s="12">
        <f>Detail_avancement!B144</f>
        <v>15</v>
      </c>
      <c r="I144" s="21">
        <f t="shared" si="3"/>
        <v>0</v>
      </c>
      <c r="J144" s="14">
        <f t="shared" si="2"/>
        <v>1</v>
      </c>
      <c r="K144" s="63"/>
    </row>
    <row r="145" ht="30.0" customHeight="1">
      <c r="A145" s="6">
        <v>147.0</v>
      </c>
      <c r="B145" s="138" t="s">
        <v>60</v>
      </c>
      <c r="C145" s="143" t="s">
        <v>237</v>
      </c>
      <c r="D145" s="144" t="s">
        <v>238</v>
      </c>
      <c r="E145" s="125" t="s">
        <v>60</v>
      </c>
      <c r="F145" s="141" t="s">
        <v>6</v>
      </c>
      <c r="G145" s="142">
        <v>30.0</v>
      </c>
      <c r="H145" s="12">
        <f>Detail_avancement!B145</f>
        <v>0</v>
      </c>
      <c r="I145" s="21">
        <f t="shared" si="3"/>
        <v>30</v>
      </c>
      <c r="J145" s="14">
        <f t="shared" si="2"/>
        <v>0</v>
      </c>
      <c r="K145" s="63"/>
    </row>
    <row r="146" ht="30.0" customHeight="1">
      <c r="A146" s="6">
        <v>148.0</v>
      </c>
      <c r="B146" s="138" t="s">
        <v>60</v>
      </c>
      <c r="C146" s="143" t="s">
        <v>237</v>
      </c>
      <c r="D146" s="144" t="s">
        <v>239</v>
      </c>
      <c r="E146" s="125" t="s">
        <v>60</v>
      </c>
      <c r="F146" s="141" t="s">
        <v>6</v>
      </c>
      <c r="G146" s="142">
        <v>10.0</v>
      </c>
      <c r="H146" s="12">
        <f>Detail_avancement!B146</f>
        <v>0</v>
      </c>
      <c r="I146" s="21">
        <f t="shared" si="3"/>
        <v>10</v>
      </c>
      <c r="J146" s="14">
        <f t="shared" si="2"/>
        <v>0</v>
      </c>
      <c r="K146" s="63"/>
    </row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</sheetData>
  <dataValidations>
    <dataValidation type="list" allowBlank="1" sqref="E2:E146">
      <formula1>"Infrastructure,Analyse,Tests,Backend,Documentation,Développement,Optimisation,Maintenance,Logique Métier,Sécurité,Test,Frontend,Database"</formula1>
    </dataValidation>
    <dataValidation type="list" allowBlank="1" sqref="B2:B146">
      <formula1>"API Auth,Module Cartes,Module Web,Module Mobile,Documentation,Tests,Module Web Backend"</formula1>
    </dataValidation>
    <dataValidation type="custom" allowBlank="1" showDropDown="1" sqref="G2:G146">
      <formula1>AND(ISNUMBER(G2),(NOT(OR(NOT(ISERROR(DATEVALUE(G2))), AND(ISNUMBER(G2), LEFT(CELL("format", G2))="D")))))</formula1>
    </dataValidation>
    <dataValidation type="list" allowBlank="1" sqref="C2:C146">
      <formula1>"Setup,Inscription,Authentification,Sécurité,Modification,Documentation,Infrastructure,Backend,Test,Maintenance,Conception,Auth,Roles,Signalements,Managers,API,Performance,Profils,Carte Visiteur,Tableau Visiteur,Manager,Base de données,Module Mobile Setup,"&amp;"Module Mobile Auth,Module Mobile Carte,Module Mobile State &amp; Network,Module Mobile UI Navigation,Module Mobile Optimisation,Module Mobile Tests,Module Mobile Notifications,Module Mobile Photos,Module Mobile Firebase,Module Mobile Affichage,Deploiement"</formula1>
    </dataValidation>
    <dataValidation type="list" allowBlank="1" sqref="F2:F146">
      <formula1>"ETU003113,ETU003122,ETU003149,ETU003216"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1.25"/>
    <col customWidth="1" min="2" max="2" width="15.25"/>
    <col customWidth="1" min="3" max="3" width="17.25"/>
    <col customWidth="1" min="4" max="4" width="16.88"/>
  </cols>
  <sheetData>
    <row r="1"/>
    <row r="2"/>
    <row r="3"/>
    <row r="4"/>
    <row r="5"/>
    <row r="6"/>
    <row r="9">
      <c r="A9" s="149" t="s">
        <v>17</v>
      </c>
      <c r="B9" s="150">
        <f>Avancement!D2</f>
        <v>1.090748588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1" t="str">
        <f t="array" ref="A1:A973">'Liste des tâches'!A:A</f>
        <v>Ligne</v>
      </c>
      <c r="B1" s="152" t="s">
        <v>244</v>
      </c>
      <c r="C1" s="153">
        <v>46048.0</v>
      </c>
      <c r="D1" s="153">
        <v>46049.0</v>
      </c>
      <c r="E1" s="154">
        <v>46056.0</v>
      </c>
      <c r="F1" s="155">
        <v>46058.0</v>
      </c>
      <c r="G1" s="156">
        <v>46059.0</v>
      </c>
      <c r="H1" s="156">
        <v>46063.0</v>
      </c>
    </row>
    <row r="2">
      <c r="A2" s="157">
        <v>1.0</v>
      </c>
      <c r="B2" s="157">
        <f t="shared" ref="B2:B146" si="1">SUM(C2:AA2)</f>
        <v>15</v>
      </c>
      <c r="C2" s="158">
        <v>15.0</v>
      </c>
      <c r="D2" s="157"/>
      <c r="E2" s="157"/>
      <c r="F2" s="157"/>
      <c r="G2" s="157"/>
      <c r="H2" s="157"/>
    </row>
    <row r="3">
      <c r="A3" s="157">
        <v>2.0</v>
      </c>
      <c r="B3" s="157">
        <f t="shared" si="1"/>
        <v>15</v>
      </c>
      <c r="C3" s="158">
        <v>15.0</v>
      </c>
      <c r="D3" s="157"/>
      <c r="E3" s="157"/>
      <c r="F3" s="157"/>
      <c r="G3" s="157"/>
      <c r="H3" s="157"/>
    </row>
    <row r="4">
      <c r="A4" s="157">
        <v>3.0</v>
      </c>
      <c r="B4" s="157">
        <f t="shared" si="1"/>
        <v>20</v>
      </c>
      <c r="C4" s="158">
        <v>20.0</v>
      </c>
      <c r="D4" s="157"/>
      <c r="E4" s="157"/>
      <c r="F4" s="157"/>
      <c r="G4" s="157"/>
      <c r="H4" s="157"/>
    </row>
    <row r="5">
      <c r="A5" s="157">
        <v>4.0</v>
      </c>
      <c r="B5" s="157">
        <f t="shared" si="1"/>
        <v>15</v>
      </c>
      <c r="C5" s="158">
        <v>15.0</v>
      </c>
      <c r="D5" s="157"/>
      <c r="E5" s="157"/>
      <c r="F5" s="157"/>
      <c r="G5" s="157"/>
      <c r="H5" s="157"/>
    </row>
    <row r="6">
      <c r="A6" s="157">
        <v>5.0</v>
      </c>
      <c r="B6" s="157">
        <f t="shared" si="1"/>
        <v>15</v>
      </c>
      <c r="C6" s="158">
        <v>15.0</v>
      </c>
      <c r="D6" s="157"/>
      <c r="E6" s="157"/>
      <c r="F6" s="157"/>
      <c r="G6" s="157"/>
      <c r="H6" s="157"/>
    </row>
    <row r="7">
      <c r="A7" s="157">
        <v>6.0</v>
      </c>
      <c r="B7" s="157">
        <f t="shared" si="1"/>
        <v>10</v>
      </c>
      <c r="C7" s="158">
        <v>10.0</v>
      </c>
      <c r="D7" s="157"/>
      <c r="E7" s="157"/>
      <c r="F7" s="157"/>
      <c r="G7" s="157"/>
      <c r="H7" s="157"/>
    </row>
    <row r="8">
      <c r="A8" s="157">
        <v>7.0</v>
      </c>
      <c r="B8" s="157">
        <f t="shared" si="1"/>
        <v>10</v>
      </c>
      <c r="C8" s="158">
        <v>10.0</v>
      </c>
      <c r="D8" s="157"/>
      <c r="E8" s="157"/>
      <c r="F8" s="157"/>
      <c r="G8" s="157"/>
      <c r="H8" s="157"/>
    </row>
    <row r="9">
      <c r="A9" s="157">
        <v>8.0</v>
      </c>
      <c r="B9" s="157">
        <f t="shared" si="1"/>
        <v>20</v>
      </c>
      <c r="C9" s="158">
        <v>20.0</v>
      </c>
      <c r="D9" s="157"/>
      <c r="E9" s="157"/>
      <c r="F9" s="157"/>
      <c r="G9" s="157"/>
      <c r="H9" s="157"/>
    </row>
    <row r="10">
      <c r="A10" s="157">
        <v>9.0</v>
      </c>
      <c r="B10" s="157">
        <f t="shared" si="1"/>
        <v>15</v>
      </c>
      <c r="C10" s="158">
        <v>15.0</v>
      </c>
      <c r="D10" s="157"/>
      <c r="E10" s="157"/>
      <c r="F10" s="157"/>
      <c r="G10" s="157"/>
      <c r="H10" s="157"/>
    </row>
    <row r="11">
      <c r="A11" s="157">
        <v>10.0</v>
      </c>
      <c r="B11" s="157">
        <f t="shared" si="1"/>
        <v>15</v>
      </c>
      <c r="C11" s="158">
        <v>15.0</v>
      </c>
      <c r="D11" s="157"/>
      <c r="E11" s="157"/>
      <c r="F11" s="157"/>
      <c r="G11" s="157"/>
      <c r="H11" s="157"/>
    </row>
    <row r="12">
      <c r="A12" s="157">
        <v>11.0</v>
      </c>
      <c r="B12" s="157">
        <f t="shared" si="1"/>
        <v>20</v>
      </c>
      <c r="C12" s="158">
        <v>20.0</v>
      </c>
      <c r="D12" s="157"/>
      <c r="E12" s="157"/>
      <c r="F12" s="157"/>
      <c r="G12" s="157"/>
      <c r="H12" s="157"/>
    </row>
    <row r="13">
      <c r="A13" s="157">
        <v>12.0</v>
      </c>
      <c r="B13" s="157">
        <f t="shared" si="1"/>
        <v>25</v>
      </c>
      <c r="C13" s="158">
        <v>25.0</v>
      </c>
      <c r="D13" s="157"/>
      <c r="E13" s="157"/>
      <c r="F13" s="157"/>
      <c r="G13" s="157"/>
      <c r="H13" s="157"/>
    </row>
    <row r="14">
      <c r="A14" s="157">
        <v>13.0</v>
      </c>
      <c r="B14" s="157">
        <f t="shared" si="1"/>
        <v>20</v>
      </c>
      <c r="C14" s="158">
        <v>20.0</v>
      </c>
      <c r="D14" s="157"/>
      <c r="E14" s="157"/>
      <c r="F14" s="157"/>
      <c r="G14" s="157"/>
      <c r="H14" s="157"/>
    </row>
    <row r="15">
      <c r="A15" s="157">
        <v>14.0</v>
      </c>
      <c r="B15" s="157">
        <f t="shared" si="1"/>
        <v>15</v>
      </c>
      <c r="C15" s="158">
        <v>15.0</v>
      </c>
      <c r="D15" s="157"/>
      <c r="E15" s="157"/>
      <c r="F15" s="157"/>
      <c r="G15" s="157"/>
      <c r="H15" s="157"/>
    </row>
    <row r="16">
      <c r="A16" s="157">
        <v>15.0</v>
      </c>
      <c r="B16" s="157">
        <f t="shared" si="1"/>
        <v>20</v>
      </c>
      <c r="C16" s="158">
        <v>20.0</v>
      </c>
      <c r="D16" s="157"/>
      <c r="E16" s="157"/>
      <c r="F16" s="157"/>
      <c r="G16" s="157"/>
      <c r="H16" s="157"/>
    </row>
    <row r="17">
      <c r="A17" s="157">
        <v>16.0</v>
      </c>
      <c r="B17" s="157">
        <f t="shared" si="1"/>
        <v>20</v>
      </c>
      <c r="C17" s="158">
        <v>0.0</v>
      </c>
      <c r="D17" s="159">
        <v>20.0</v>
      </c>
      <c r="E17" s="157"/>
      <c r="F17" s="157"/>
      <c r="G17" s="157"/>
      <c r="H17" s="157"/>
    </row>
    <row r="18">
      <c r="A18" s="157">
        <v>17.0</v>
      </c>
      <c r="B18" s="157">
        <f t="shared" si="1"/>
        <v>25</v>
      </c>
      <c r="C18" s="158">
        <v>0.0</v>
      </c>
      <c r="D18" s="159">
        <v>25.0</v>
      </c>
      <c r="E18" s="157"/>
      <c r="F18" s="157"/>
      <c r="G18" s="157"/>
      <c r="H18" s="157"/>
    </row>
    <row r="19">
      <c r="A19" s="157">
        <v>18.0</v>
      </c>
      <c r="B19" s="157">
        <f t="shared" si="1"/>
        <v>20</v>
      </c>
      <c r="C19" s="158">
        <v>0.0</v>
      </c>
      <c r="D19" s="159">
        <v>20.0</v>
      </c>
      <c r="E19" s="157"/>
      <c r="F19" s="157"/>
      <c r="G19" s="157"/>
      <c r="H19" s="157"/>
    </row>
    <row r="20">
      <c r="A20" s="157">
        <v>19.0</v>
      </c>
      <c r="B20" s="157">
        <f t="shared" si="1"/>
        <v>25</v>
      </c>
      <c r="C20" s="158">
        <v>0.0</v>
      </c>
      <c r="D20" s="159">
        <v>25.0</v>
      </c>
      <c r="E20" s="157"/>
      <c r="F20" s="157"/>
      <c r="G20" s="157"/>
      <c r="H20" s="157"/>
    </row>
    <row r="21">
      <c r="A21" s="157">
        <v>20.0</v>
      </c>
      <c r="B21" s="157">
        <f t="shared" si="1"/>
        <v>15</v>
      </c>
      <c r="C21" s="158">
        <v>0.0</v>
      </c>
      <c r="D21" s="159">
        <v>15.0</v>
      </c>
      <c r="E21" s="157"/>
      <c r="F21" s="157"/>
      <c r="G21" s="157"/>
      <c r="H21" s="157"/>
    </row>
    <row r="22">
      <c r="A22" s="157">
        <v>21.0</v>
      </c>
      <c r="B22" s="157">
        <f t="shared" si="1"/>
        <v>20</v>
      </c>
      <c r="C22" s="158">
        <v>0.0</v>
      </c>
      <c r="D22" s="159">
        <v>20.0</v>
      </c>
      <c r="E22" s="157"/>
      <c r="F22" s="157"/>
      <c r="G22" s="157"/>
      <c r="H22" s="157"/>
    </row>
    <row r="23">
      <c r="A23" s="157">
        <v>22.0</v>
      </c>
      <c r="B23" s="157">
        <f t="shared" si="1"/>
        <v>25</v>
      </c>
      <c r="C23" s="158">
        <v>0.0</v>
      </c>
      <c r="D23" s="159">
        <v>25.0</v>
      </c>
      <c r="E23" s="157"/>
      <c r="F23" s="157"/>
      <c r="G23" s="157"/>
      <c r="H23" s="157"/>
    </row>
    <row r="24">
      <c r="A24" s="157">
        <v>23.0</v>
      </c>
      <c r="B24" s="157">
        <f t="shared" si="1"/>
        <v>20</v>
      </c>
      <c r="C24" s="158">
        <v>0.0</v>
      </c>
      <c r="D24" s="159">
        <v>20.0</v>
      </c>
      <c r="E24" s="157"/>
      <c r="F24" s="157"/>
      <c r="G24" s="157"/>
      <c r="H24" s="157"/>
    </row>
    <row r="25">
      <c r="A25" s="157">
        <v>24.0</v>
      </c>
      <c r="B25" s="157">
        <f t="shared" si="1"/>
        <v>10</v>
      </c>
      <c r="C25" s="158">
        <v>0.0</v>
      </c>
      <c r="D25" s="159">
        <v>10.0</v>
      </c>
      <c r="E25" s="157"/>
      <c r="F25" s="157"/>
      <c r="G25" s="157"/>
      <c r="H25" s="157"/>
    </row>
    <row r="26">
      <c r="A26" s="157">
        <v>25.0</v>
      </c>
      <c r="B26" s="157">
        <f t="shared" si="1"/>
        <v>5</v>
      </c>
      <c r="C26" s="158">
        <v>0.0</v>
      </c>
      <c r="D26" s="159">
        <v>5.0</v>
      </c>
      <c r="E26" s="157"/>
      <c r="F26" s="157"/>
      <c r="G26" s="157"/>
      <c r="H26" s="157"/>
    </row>
    <row r="27">
      <c r="A27" s="157">
        <v>26.0</v>
      </c>
      <c r="B27" s="157">
        <f t="shared" si="1"/>
        <v>10</v>
      </c>
      <c r="C27" s="158">
        <v>0.0</v>
      </c>
      <c r="D27" s="159">
        <v>10.0</v>
      </c>
      <c r="E27" s="157"/>
      <c r="F27" s="157"/>
      <c r="G27" s="157"/>
      <c r="H27" s="157"/>
    </row>
    <row r="28">
      <c r="A28" s="157">
        <v>27.0</v>
      </c>
      <c r="B28" s="157">
        <f t="shared" si="1"/>
        <v>20</v>
      </c>
      <c r="C28" s="158">
        <v>0.0</v>
      </c>
      <c r="D28" s="159">
        <v>20.0</v>
      </c>
      <c r="E28" s="157"/>
      <c r="F28" s="157"/>
      <c r="G28" s="157"/>
      <c r="H28" s="157"/>
    </row>
    <row r="29">
      <c r="A29" s="157">
        <v>28.0</v>
      </c>
      <c r="B29" s="157">
        <f t="shared" si="1"/>
        <v>15</v>
      </c>
      <c r="C29" s="158">
        <v>0.0</v>
      </c>
      <c r="D29" s="159">
        <v>15.0</v>
      </c>
      <c r="E29" s="157"/>
      <c r="F29" s="157"/>
      <c r="G29" s="157"/>
      <c r="H29" s="157"/>
    </row>
    <row r="30">
      <c r="A30" s="157">
        <v>29.0</v>
      </c>
      <c r="B30" s="157">
        <f t="shared" si="1"/>
        <v>15</v>
      </c>
      <c r="C30" s="158">
        <v>0.0</v>
      </c>
      <c r="D30" s="159">
        <v>15.0</v>
      </c>
      <c r="E30" s="157"/>
      <c r="F30" s="157"/>
      <c r="G30" s="157"/>
      <c r="H30" s="157"/>
    </row>
    <row r="31">
      <c r="A31" s="157">
        <v>30.0</v>
      </c>
      <c r="B31" s="157">
        <f t="shared" si="1"/>
        <v>20</v>
      </c>
      <c r="C31" s="158">
        <v>0.0</v>
      </c>
      <c r="D31" s="159">
        <v>20.0</v>
      </c>
      <c r="E31" s="157"/>
      <c r="F31" s="157"/>
      <c r="G31" s="157"/>
      <c r="H31" s="157"/>
    </row>
    <row r="32">
      <c r="A32" s="157">
        <v>34.0</v>
      </c>
      <c r="B32" s="157">
        <f t="shared" si="1"/>
        <v>2</v>
      </c>
      <c r="C32" s="158">
        <v>0.0</v>
      </c>
      <c r="D32" s="159">
        <v>2.0</v>
      </c>
      <c r="E32" s="157"/>
      <c r="F32" s="157"/>
      <c r="G32" s="157"/>
      <c r="H32" s="157"/>
    </row>
    <row r="33">
      <c r="A33" s="157">
        <v>35.0</v>
      </c>
      <c r="B33" s="157">
        <f t="shared" si="1"/>
        <v>40</v>
      </c>
      <c r="C33" s="158">
        <v>0.0</v>
      </c>
      <c r="D33" s="159">
        <v>40.0</v>
      </c>
      <c r="E33" s="157"/>
      <c r="F33" s="157"/>
      <c r="G33" s="157"/>
      <c r="H33" s="157"/>
    </row>
    <row r="34">
      <c r="A34" s="157">
        <v>36.0</v>
      </c>
      <c r="B34" s="157">
        <f t="shared" si="1"/>
        <v>5</v>
      </c>
      <c r="C34" s="158">
        <v>0.0</v>
      </c>
      <c r="D34" s="159">
        <v>5.0</v>
      </c>
      <c r="E34" s="157"/>
      <c r="F34" s="157"/>
      <c r="G34" s="157"/>
      <c r="H34" s="157"/>
    </row>
    <row r="35">
      <c r="A35" s="157">
        <v>37.0</v>
      </c>
      <c r="B35" s="157">
        <f t="shared" si="1"/>
        <v>5</v>
      </c>
      <c r="C35" s="158">
        <v>0.0</v>
      </c>
      <c r="D35" s="159">
        <v>5.0</v>
      </c>
      <c r="E35" s="157"/>
      <c r="F35" s="157"/>
      <c r="G35" s="157"/>
      <c r="H35" s="157"/>
    </row>
    <row r="36">
      <c r="A36" s="157">
        <v>38.0</v>
      </c>
      <c r="B36" s="157">
        <f t="shared" si="1"/>
        <v>5</v>
      </c>
      <c r="C36" s="158">
        <v>0.0</v>
      </c>
      <c r="D36" s="159">
        <v>5.0</v>
      </c>
      <c r="E36" s="157"/>
      <c r="F36" s="157"/>
      <c r="G36" s="157"/>
      <c r="H36" s="157"/>
    </row>
    <row r="37">
      <c r="A37" s="157">
        <v>39.0</v>
      </c>
      <c r="B37" s="157">
        <f t="shared" si="1"/>
        <v>20</v>
      </c>
      <c r="C37" s="158">
        <v>0.0</v>
      </c>
      <c r="D37" s="159">
        <v>20.0</v>
      </c>
      <c r="E37" s="157"/>
      <c r="F37" s="157"/>
      <c r="G37" s="157"/>
      <c r="H37" s="157"/>
    </row>
    <row r="38">
      <c r="A38" s="157">
        <v>40.0</v>
      </c>
      <c r="B38" s="157">
        <f t="shared" si="1"/>
        <v>20</v>
      </c>
      <c r="C38" s="158">
        <v>20.0</v>
      </c>
      <c r="D38" s="157"/>
      <c r="E38" s="157"/>
      <c r="F38" s="157"/>
      <c r="G38" s="157"/>
      <c r="H38" s="157"/>
    </row>
    <row r="39">
      <c r="A39" s="157">
        <v>41.0</v>
      </c>
      <c r="B39" s="157">
        <f t="shared" si="1"/>
        <v>15</v>
      </c>
      <c r="C39" s="158">
        <v>15.0</v>
      </c>
      <c r="D39" s="157"/>
      <c r="E39" s="157"/>
      <c r="F39" s="157"/>
      <c r="G39" s="157"/>
      <c r="H39" s="157"/>
    </row>
    <row r="40">
      <c r="A40" s="157">
        <v>42.0</v>
      </c>
      <c r="B40" s="157">
        <f t="shared" si="1"/>
        <v>25</v>
      </c>
      <c r="C40" s="158">
        <v>25.0</v>
      </c>
      <c r="D40" s="157"/>
      <c r="E40" s="157"/>
      <c r="F40" s="157"/>
      <c r="G40" s="157"/>
      <c r="H40" s="157"/>
    </row>
    <row r="41">
      <c r="A41" s="157">
        <v>43.0</v>
      </c>
      <c r="B41" s="157">
        <f t="shared" si="1"/>
        <v>15</v>
      </c>
      <c r="C41" s="158">
        <v>15.0</v>
      </c>
      <c r="D41" s="157"/>
      <c r="E41" s="157"/>
      <c r="F41" s="157"/>
      <c r="G41" s="157"/>
      <c r="H41" s="157"/>
    </row>
    <row r="42">
      <c r="A42" s="157">
        <v>44.0</v>
      </c>
      <c r="B42" s="157">
        <f t="shared" si="1"/>
        <v>30</v>
      </c>
      <c r="C42" s="158">
        <v>30.0</v>
      </c>
      <c r="D42" s="157"/>
      <c r="E42" s="157"/>
      <c r="F42" s="157"/>
      <c r="G42" s="157"/>
      <c r="H42" s="157"/>
    </row>
    <row r="43">
      <c r="A43" s="157">
        <v>45.0</v>
      </c>
      <c r="B43" s="157">
        <f t="shared" si="1"/>
        <v>30</v>
      </c>
      <c r="C43" s="158">
        <v>30.0</v>
      </c>
      <c r="D43" s="157"/>
      <c r="E43" s="157"/>
      <c r="F43" s="157"/>
      <c r="G43" s="157"/>
      <c r="H43" s="157"/>
    </row>
    <row r="44">
      <c r="A44" s="157">
        <v>46.0</v>
      </c>
      <c r="B44" s="157">
        <f t="shared" si="1"/>
        <v>15</v>
      </c>
      <c r="C44" s="158">
        <v>15.0</v>
      </c>
      <c r="D44" s="157"/>
      <c r="E44" s="157"/>
      <c r="F44" s="157"/>
      <c r="G44" s="157"/>
      <c r="H44" s="157"/>
    </row>
    <row r="45">
      <c r="A45" s="157">
        <v>47.0</v>
      </c>
      <c r="B45" s="157">
        <f t="shared" si="1"/>
        <v>15</v>
      </c>
      <c r="C45" s="158">
        <v>15.0</v>
      </c>
      <c r="D45" s="157"/>
      <c r="E45" s="157"/>
      <c r="F45" s="157"/>
      <c r="G45" s="157"/>
      <c r="H45" s="157"/>
    </row>
    <row r="46">
      <c r="A46" s="157">
        <v>48.0</v>
      </c>
      <c r="B46" s="157">
        <f t="shared" si="1"/>
        <v>20</v>
      </c>
      <c r="C46" s="158">
        <v>20.0</v>
      </c>
      <c r="D46" s="157"/>
      <c r="E46" s="157"/>
      <c r="F46" s="157"/>
      <c r="G46" s="157"/>
      <c r="H46" s="157"/>
    </row>
    <row r="47">
      <c r="A47" s="157">
        <v>49.0</v>
      </c>
      <c r="B47" s="157">
        <f t="shared" si="1"/>
        <v>25</v>
      </c>
      <c r="C47" s="158">
        <v>25.0</v>
      </c>
      <c r="D47" s="157"/>
      <c r="E47" s="157"/>
      <c r="F47" s="157"/>
      <c r="G47" s="157"/>
      <c r="H47" s="157"/>
    </row>
    <row r="48">
      <c r="A48" s="157">
        <v>50.0</v>
      </c>
      <c r="B48" s="157">
        <f t="shared" si="1"/>
        <v>20</v>
      </c>
      <c r="C48" s="158">
        <v>20.0</v>
      </c>
      <c r="D48" s="157"/>
      <c r="E48" s="157"/>
      <c r="F48" s="157"/>
      <c r="G48" s="157"/>
      <c r="H48" s="157"/>
    </row>
    <row r="49">
      <c r="A49" s="157">
        <v>51.0</v>
      </c>
      <c r="B49" s="157">
        <f t="shared" si="1"/>
        <v>37</v>
      </c>
      <c r="C49" s="158">
        <v>37.0</v>
      </c>
      <c r="D49" s="157"/>
      <c r="E49" s="157"/>
      <c r="F49" s="157"/>
      <c r="G49" s="157"/>
      <c r="H49" s="157"/>
    </row>
    <row r="50">
      <c r="A50" s="157">
        <v>52.0</v>
      </c>
      <c r="B50" s="157">
        <f t="shared" si="1"/>
        <v>25</v>
      </c>
      <c r="C50" s="158">
        <v>25.0</v>
      </c>
      <c r="D50" s="157"/>
      <c r="E50" s="157"/>
      <c r="F50" s="157"/>
      <c r="G50" s="157"/>
      <c r="H50" s="157"/>
    </row>
    <row r="51">
      <c r="A51" s="157">
        <v>53.0</v>
      </c>
      <c r="B51" s="157">
        <f t="shared" si="1"/>
        <v>20</v>
      </c>
      <c r="C51" s="158">
        <v>20.0</v>
      </c>
      <c r="D51" s="157"/>
      <c r="E51" s="157"/>
      <c r="F51" s="157"/>
      <c r="G51" s="157"/>
      <c r="H51" s="157"/>
    </row>
    <row r="52">
      <c r="A52" s="157">
        <v>54.0</v>
      </c>
      <c r="B52" s="157">
        <f t="shared" si="1"/>
        <v>15</v>
      </c>
      <c r="C52" s="158">
        <v>15.0</v>
      </c>
      <c r="D52" s="157"/>
      <c r="E52" s="157"/>
      <c r="F52" s="157"/>
      <c r="G52" s="157"/>
      <c r="H52" s="157"/>
    </row>
    <row r="53">
      <c r="A53" s="157">
        <v>55.0</v>
      </c>
      <c r="B53" s="157">
        <f t="shared" si="1"/>
        <v>20</v>
      </c>
      <c r="C53" s="158">
        <v>20.0</v>
      </c>
      <c r="D53" s="157"/>
      <c r="E53" s="157"/>
      <c r="F53" s="157"/>
      <c r="G53" s="157"/>
      <c r="H53" s="157"/>
    </row>
    <row r="54">
      <c r="A54" s="157">
        <v>56.0</v>
      </c>
      <c r="B54" s="157">
        <f t="shared" si="1"/>
        <v>20</v>
      </c>
      <c r="C54" s="158">
        <v>20.0</v>
      </c>
      <c r="D54" s="157"/>
      <c r="E54" s="157"/>
      <c r="F54" s="157"/>
      <c r="G54" s="157"/>
      <c r="H54" s="157"/>
    </row>
    <row r="55">
      <c r="A55" s="157">
        <v>57.0</v>
      </c>
      <c r="B55" s="157">
        <f t="shared" si="1"/>
        <v>20</v>
      </c>
      <c r="C55" s="158">
        <v>20.0</v>
      </c>
      <c r="D55" s="157"/>
      <c r="E55" s="157"/>
      <c r="F55" s="157"/>
      <c r="G55" s="157"/>
      <c r="H55" s="157"/>
    </row>
    <row r="56">
      <c r="A56" s="157">
        <v>58.0</v>
      </c>
      <c r="B56" s="157">
        <f t="shared" si="1"/>
        <v>15</v>
      </c>
      <c r="C56" s="158">
        <v>15.0</v>
      </c>
      <c r="D56" s="157"/>
      <c r="E56" s="157"/>
      <c r="F56" s="157"/>
      <c r="G56" s="157"/>
      <c r="H56" s="157"/>
    </row>
    <row r="57">
      <c r="A57" s="157">
        <v>59.0</v>
      </c>
      <c r="B57" s="157">
        <f t="shared" si="1"/>
        <v>10</v>
      </c>
      <c r="C57" s="158">
        <v>10.0</v>
      </c>
      <c r="D57" s="157"/>
      <c r="E57" s="157"/>
      <c r="F57" s="157"/>
      <c r="G57" s="157"/>
      <c r="H57" s="157"/>
    </row>
    <row r="58">
      <c r="A58" s="157">
        <v>60.0</v>
      </c>
      <c r="B58" s="157">
        <f t="shared" si="1"/>
        <v>60</v>
      </c>
      <c r="C58" s="158">
        <v>60.0</v>
      </c>
      <c r="D58" s="157"/>
      <c r="E58" s="157"/>
      <c r="F58" s="157"/>
      <c r="G58" s="157"/>
      <c r="H58" s="157"/>
    </row>
    <row r="59">
      <c r="A59" s="157">
        <v>61.0</v>
      </c>
      <c r="B59" s="157">
        <f t="shared" si="1"/>
        <v>20</v>
      </c>
      <c r="C59" s="158">
        <v>20.0</v>
      </c>
      <c r="D59" s="157"/>
      <c r="E59" s="157"/>
      <c r="F59" s="157"/>
      <c r="G59" s="157"/>
      <c r="H59" s="157"/>
    </row>
    <row r="60">
      <c r="A60" s="157">
        <v>62.0</v>
      </c>
      <c r="B60" s="157">
        <f t="shared" si="1"/>
        <v>20</v>
      </c>
      <c r="C60" s="158">
        <v>20.0</v>
      </c>
      <c r="D60" s="157"/>
      <c r="E60" s="157"/>
      <c r="F60" s="157"/>
      <c r="G60" s="157"/>
      <c r="H60" s="157"/>
    </row>
    <row r="61">
      <c r="A61" s="157">
        <v>63.0</v>
      </c>
      <c r="B61" s="157">
        <f t="shared" si="1"/>
        <v>20</v>
      </c>
      <c r="C61" s="157"/>
      <c r="D61" s="157"/>
      <c r="E61" s="157"/>
      <c r="F61" s="158">
        <v>20.0</v>
      </c>
      <c r="G61" s="157"/>
      <c r="H61" s="157"/>
    </row>
    <row r="62">
      <c r="A62" s="157">
        <v>64.0</v>
      </c>
      <c r="B62" s="157">
        <f t="shared" si="1"/>
        <v>10</v>
      </c>
      <c r="C62" s="157"/>
      <c r="D62" s="157"/>
      <c r="E62" s="158">
        <v>10.0</v>
      </c>
      <c r="F62" s="157"/>
      <c r="G62" s="157"/>
      <c r="H62" s="157"/>
    </row>
    <row r="63">
      <c r="A63" s="157">
        <v>65.0</v>
      </c>
      <c r="B63" s="157">
        <f t="shared" si="1"/>
        <v>20</v>
      </c>
      <c r="C63" s="157"/>
      <c r="D63" s="157"/>
      <c r="E63" s="157"/>
      <c r="F63" s="158">
        <v>20.0</v>
      </c>
      <c r="G63" s="157"/>
      <c r="H63" s="157"/>
    </row>
    <row r="64">
      <c r="A64" s="157">
        <v>66.0</v>
      </c>
      <c r="B64" s="157">
        <f t="shared" si="1"/>
        <v>15</v>
      </c>
      <c r="C64" s="157"/>
      <c r="D64" s="157"/>
      <c r="E64" s="157"/>
      <c r="F64" s="158">
        <v>10.0</v>
      </c>
      <c r="G64" s="158"/>
      <c r="H64" s="158">
        <v>5.0</v>
      </c>
    </row>
    <row r="65">
      <c r="A65" s="157">
        <v>67.0</v>
      </c>
      <c r="B65" s="157">
        <f t="shared" si="1"/>
        <v>45</v>
      </c>
      <c r="C65" s="157"/>
      <c r="D65" s="157"/>
      <c r="E65" s="157"/>
      <c r="F65" s="158">
        <v>25.0</v>
      </c>
      <c r="G65" s="158"/>
      <c r="H65" s="158">
        <v>20.0</v>
      </c>
    </row>
    <row r="66">
      <c r="A66" s="157">
        <v>68.0</v>
      </c>
      <c r="B66" s="157">
        <f t="shared" si="1"/>
        <v>30</v>
      </c>
      <c r="C66" s="157"/>
      <c r="D66" s="157"/>
      <c r="E66" s="158">
        <v>30.0</v>
      </c>
      <c r="F66" s="157"/>
      <c r="G66" s="157"/>
      <c r="H66" s="157"/>
    </row>
    <row r="67">
      <c r="A67" s="157">
        <v>69.0</v>
      </c>
      <c r="B67" s="157">
        <f t="shared" si="1"/>
        <v>35</v>
      </c>
      <c r="C67" s="157"/>
      <c r="D67" s="157"/>
      <c r="E67" s="158">
        <v>15.0</v>
      </c>
      <c r="F67" s="157"/>
      <c r="G67" s="158"/>
      <c r="H67" s="158">
        <v>20.0</v>
      </c>
    </row>
    <row r="68">
      <c r="A68" s="157">
        <v>70.0</v>
      </c>
      <c r="B68" s="157">
        <f t="shared" si="1"/>
        <v>30</v>
      </c>
      <c r="C68" s="157"/>
      <c r="D68" s="157"/>
      <c r="E68" s="157"/>
      <c r="F68" s="158">
        <v>20.0</v>
      </c>
      <c r="G68" s="158"/>
      <c r="H68" s="158">
        <v>10.0</v>
      </c>
    </row>
    <row r="69">
      <c r="A69" s="157">
        <v>71.0</v>
      </c>
      <c r="B69" s="157">
        <f t="shared" si="1"/>
        <v>50</v>
      </c>
      <c r="C69" s="157"/>
      <c r="D69" s="157"/>
      <c r="E69" s="157"/>
      <c r="F69" s="158">
        <v>30.0</v>
      </c>
      <c r="G69" s="158">
        <v>20.0</v>
      </c>
      <c r="H69" s="158"/>
    </row>
    <row r="70">
      <c r="A70" s="157">
        <v>72.0</v>
      </c>
      <c r="B70" s="157">
        <f t="shared" si="1"/>
        <v>60</v>
      </c>
      <c r="C70" s="157"/>
      <c r="D70" s="157"/>
      <c r="E70" s="157"/>
      <c r="F70" s="158">
        <v>30.0</v>
      </c>
      <c r="G70" s="158">
        <v>30.0</v>
      </c>
      <c r="H70" s="158"/>
    </row>
    <row r="71">
      <c r="A71" s="157">
        <v>73.0</v>
      </c>
      <c r="B71" s="157">
        <f t="shared" si="1"/>
        <v>10</v>
      </c>
      <c r="C71" s="157"/>
      <c r="D71" s="158">
        <v>10.0</v>
      </c>
      <c r="E71" s="157"/>
      <c r="F71" s="157"/>
      <c r="G71" s="157"/>
      <c r="H71" s="157"/>
    </row>
    <row r="72">
      <c r="A72" s="157">
        <v>74.0</v>
      </c>
      <c r="B72" s="157">
        <f t="shared" si="1"/>
        <v>20</v>
      </c>
      <c r="C72" s="157"/>
      <c r="D72" s="158">
        <v>20.0</v>
      </c>
      <c r="E72" s="157"/>
      <c r="F72" s="157"/>
      <c r="G72" s="157"/>
      <c r="H72" s="157"/>
    </row>
    <row r="73">
      <c r="A73" s="157">
        <v>75.0</v>
      </c>
      <c r="B73" s="157">
        <f t="shared" si="1"/>
        <v>30</v>
      </c>
      <c r="C73" s="157"/>
      <c r="D73" s="158">
        <v>10.0</v>
      </c>
      <c r="E73" s="157"/>
      <c r="F73" s="157"/>
      <c r="G73" s="158"/>
      <c r="H73" s="158">
        <v>20.0</v>
      </c>
    </row>
    <row r="74">
      <c r="A74" s="157">
        <v>76.0</v>
      </c>
      <c r="B74" s="157">
        <f t="shared" si="1"/>
        <v>22</v>
      </c>
      <c r="C74" s="157"/>
      <c r="D74" s="158">
        <v>22.0</v>
      </c>
      <c r="E74" s="157"/>
      <c r="F74" s="157"/>
      <c r="G74" s="157"/>
      <c r="H74" s="157"/>
    </row>
    <row r="75">
      <c r="A75" s="157">
        <v>77.0</v>
      </c>
      <c r="B75" s="157">
        <f t="shared" si="1"/>
        <v>15</v>
      </c>
      <c r="C75" s="157"/>
      <c r="D75" s="158">
        <v>15.0</v>
      </c>
      <c r="E75" s="157"/>
      <c r="F75" s="157"/>
      <c r="G75" s="157"/>
      <c r="H75" s="157"/>
    </row>
    <row r="76">
      <c r="A76" s="157">
        <v>78.0</v>
      </c>
      <c r="B76" s="157">
        <f t="shared" si="1"/>
        <v>0</v>
      </c>
      <c r="C76" s="157"/>
      <c r="D76" s="157"/>
      <c r="E76" s="157"/>
      <c r="F76" s="157"/>
      <c r="G76" s="157"/>
      <c r="H76" s="157"/>
    </row>
    <row r="77">
      <c r="A77" s="157">
        <v>79.0</v>
      </c>
      <c r="B77" s="157">
        <f t="shared" si="1"/>
        <v>20</v>
      </c>
      <c r="C77" s="157"/>
      <c r="D77" s="157"/>
      <c r="E77" s="158">
        <v>20.0</v>
      </c>
      <c r="F77" s="157"/>
      <c r="G77" s="157"/>
      <c r="H77" s="157"/>
    </row>
    <row r="78">
      <c r="A78" s="157">
        <v>80.0</v>
      </c>
      <c r="B78" s="157">
        <f t="shared" si="1"/>
        <v>0</v>
      </c>
      <c r="C78" s="157"/>
      <c r="D78" s="157"/>
      <c r="E78" s="157"/>
      <c r="F78" s="157"/>
      <c r="G78" s="157"/>
      <c r="H78" s="157"/>
    </row>
    <row r="79">
      <c r="A79" s="157">
        <v>81.0</v>
      </c>
      <c r="B79" s="157">
        <f t="shared" si="1"/>
        <v>0</v>
      </c>
      <c r="C79" s="157"/>
      <c r="D79" s="157"/>
      <c r="E79" s="157"/>
      <c r="F79" s="157"/>
      <c r="G79" s="157"/>
      <c r="H79" s="157"/>
    </row>
    <row r="80">
      <c r="A80" s="157">
        <v>82.0</v>
      </c>
      <c r="B80" s="157">
        <f t="shared" si="1"/>
        <v>20</v>
      </c>
      <c r="C80" s="157"/>
      <c r="D80" s="157"/>
      <c r="E80" s="157"/>
      <c r="F80" s="157"/>
      <c r="G80" s="158"/>
      <c r="H80" s="158">
        <v>20.0</v>
      </c>
    </row>
    <row r="81">
      <c r="A81" s="157">
        <v>83.0</v>
      </c>
      <c r="B81" s="157">
        <f t="shared" si="1"/>
        <v>20</v>
      </c>
      <c r="C81" s="157"/>
      <c r="D81" s="157"/>
      <c r="E81" s="157"/>
      <c r="F81" s="157"/>
      <c r="G81" s="158">
        <v>20.0</v>
      </c>
      <c r="H81" s="158"/>
    </row>
    <row r="82">
      <c r="A82" s="157">
        <v>84.0</v>
      </c>
      <c r="B82" s="157">
        <f t="shared" si="1"/>
        <v>30</v>
      </c>
      <c r="C82" s="157"/>
      <c r="D82" s="157"/>
      <c r="E82" s="157"/>
      <c r="F82" s="157"/>
      <c r="G82" s="158">
        <v>30.0</v>
      </c>
      <c r="H82" s="158"/>
    </row>
    <row r="83">
      <c r="A83" s="157">
        <v>85.0</v>
      </c>
      <c r="B83" s="157">
        <f t="shared" si="1"/>
        <v>35</v>
      </c>
      <c r="C83" s="157"/>
      <c r="D83" s="157"/>
      <c r="E83" s="157"/>
      <c r="F83" s="157"/>
      <c r="G83" s="158">
        <v>35.0</v>
      </c>
      <c r="H83" s="158"/>
    </row>
    <row r="84">
      <c r="A84" s="157">
        <v>86.0</v>
      </c>
      <c r="B84" s="157">
        <f t="shared" si="1"/>
        <v>30</v>
      </c>
      <c r="C84" s="157"/>
      <c r="D84" s="157"/>
      <c r="E84" s="158">
        <v>30.0</v>
      </c>
      <c r="F84" s="157"/>
      <c r="G84" s="157"/>
      <c r="H84" s="157"/>
    </row>
    <row r="85">
      <c r="A85" s="157">
        <v>87.0</v>
      </c>
      <c r="B85" s="157">
        <f t="shared" si="1"/>
        <v>20</v>
      </c>
      <c r="C85" s="157"/>
      <c r="D85" s="157"/>
      <c r="E85" s="158">
        <v>20.0</v>
      </c>
      <c r="F85" s="157"/>
      <c r="G85" s="157"/>
      <c r="H85" s="157"/>
    </row>
    <row r="86">
      <c r="A86" s="157">
        <v>88.0</v>
      </c>
      <c r="B86" s="157">
        <f t="shared" si="1"/>
        <v>20</v>
      </c>
      <c r="C86" s="157"/>
      <c r="D86" s="157"/>
      <c r="E86" s="157"/>
      <c r="F86" s="158">
        <v>20.0</v>
      </c>
      <c r="G86" s="157"/>
      <c r="H86" s="157"/>
    </row>
    <row r="87">
      <c r="A87" s="157">
        <v>89.0</v>
      </c>
      <c r="B87" s="157">
        <f t="shared" si="1"/>
        <v>20</v>
      </c>
      <c r="C87" s="157"/>
      <c r="D87" s="157"/>
      <c r="E87" s="157"/>
      <c r="F87" s="158">
        <v>20.0</v>
      </c>
      <c r="G87" s="157"/>
      <c r="H87" s="157"/>
    </row>
    <row r="88">
      <c r="A88" s="157">
        <v>90.0</v>
      </c>
      <c r="B88" s="157">
        <f t="shared" si="1"/>
        <v>20</v>
      </c>
      <c r="C88" s="157"/>
      <c r="D88" s="157"/>
      <c r="E88" s="157"/>
      <c r="F88" s="158">
        <v>20.0</v>
      </c>
      <c r="G88" s="157"/>
      <c r="H88" s="157"/>
    </row>
    <row r="89">
      <c r="A89" s="157">
        <v>91.0</v>
      </c>
      <c r="B89" s="157">
        <f t="shared" si="1"/>
        <v>25</v>
      </c>
      <c r="C89" s="157"/>
      <c r="D89" s="157"/>
      <c r="E89" s="157"/>
      <c r="F89" s="158">
        <v>25.0</v>
      </c>
      <c r="G89" s="157"/>
      <c r="H89" s="157"/>
    </row>
    <row r="90">
      <c r="A90" s="157">
        <v>92.0</v>
      </c>
      <c r="B90" s="157">
        <f t="shared" si="1"/>
        <v>40</v>
      </c>
      <c r="C90" s="157"/>
      <c r="D90" s="157"/>
      <c r="E90" s="158">
        <v>40.0</v>
      </c>
      <c r="F90" s="157"/>
      <c r="G90" s="157"/>
      <c r="H90" s="157"/>
    </row>
    <row r="91">
      <c r="A91" s="157">
        <v>93.0</v>
      </c>
      <c r="B91" s="157">
        <f t="shared" si="1"/>
        <v>20</v>
      </c>
      <c r="C91" s="157"/>
      <c r="D91" s="158">
        <v>10.0</v>
      </c>
      <c r="E91" s="157"/>
      <c r="F91" s="158">
        <v>10.0</v>
      </c>
      <c r="G91" s="157"/>
      <c r="H91" s="157"/>
    </row>
    <row r="92">
      <c r="A92" s="157">
        <v>94.0</v>
      </c>
      <c r="B92" s="157">
        <f t="shared" si="1"/>
        <v>23</v>
      </c>
      <c r="C92" s="157"/>
      <c r="D92" s="158">
        <v>23.0</v>
      </c>
      <c r="E92" s="157"/>
      <c r="F92" s="157"/>
      <c r="G92" s="157"/>
      <c r="H92" s="157"/>
    </row>
    <row r="93">
      <c r="A93" s="157">
        <v>95.0</v>
      </c>
      <c r="B93" s="157">
        <f t="shared" si="1"/>
        <v>27</v>
      </c>
      <c r="C93" s="157"/>
      <c r="D93" s="158">
        <v>10.0</v>
      </c>
      <c r="E93" s="157"/>
      <c r="F93" s="157"/>
      <c r="G93" s="158"/>
      <c r="H93" s="158">
        <v>17.0</v>
      </c>
    </row>
    <row r="94">
      <c r="A94" s="157">
        <v>96.0</v>
      </c>
      <c r="B94" s="157">
        <f t="shared" si="1"/>
        <v>11</v>
      </c>
      <c r="C94" s="157"/>
      <c r="D94" s="158">
        <v>11.0</v>
      </c>
      <c r="E94" s="157"/>
      <c r="F94" s="157"/>
      <c r="G94" s="157"/>
      <c r="H94" s="157"/>
    </row>
    <row r="95">
      <c r="A95" s="157">
        <v>97.0</v>
      </c>
      <c r="B95" s="157">
        <f t="shared" si="1"/>
        <v>15</v>
      </c>
      <c r="C95" s="157"/>
      <c r="D95" s="158">
        <v>15.0</v>
      </c>
      <c r="E95" s="157"/>
      <c r="F95" s="157"/>
      <c r="G95" s="158"/>
      <c r="H95" s="158"/>
    </row>
    <row r="96">
      <c r="A96" s="157">
        <v>98.0</v>
      </c>
      <c r="B96" s="157">
        <f t="shared" si="1"/>
        <v>25</v>
      </c>
      <c r="C96" s="157"/>
      <c r="D96" s="158">
        <v>10.0</v>
      </c>
      <c r="E96" s="158"/>
      <c r="F96" s="157"/>
      <c r="G96" s="158"/>
      <c r="H96" s="158">
        <v>15.0</v>
      </c>
    </row>
    <row r="97">
      <c r="A97" s="157">
        <v>99.0</v>
      </c>
      <c r="B97" s="157">
        <f t="shared" si="1"/>
        <v>19</v>
      </c>
      <c r="C97" s="157"/>
      <c r="D97" s="158">
        <v>19.0</v>
      </c>
      <c r="E97" s="157"/>
      <c r="F97" s="157"/>
      <c r="G97" s="157"/>
      <c r="H97" s="157"/>
    </row>
    <row r="98">
      <c r="A98" s="157">
        <v>100.0</v>
      </c>
      <c r="B98" s="157">
        <f t="shared" si="1"/>
        <v>25</v>
      </c>
      <c r="C98" s="157"/>
      <c r="D98" s="157"/>
      <c r="E98" s="158">
        <v>10.0</v>
      </c>
      <c r="F98" s="157"/>
      <c r="G98" s="158"/>
      <c r="H98" s="158">
        <v>15.0</v>
      </c>
    </row>
    <row r="99">
      <c r="A99" s="157">
        <v>101.0</v>
      </c>
      <c r="B99" s="157">
        <f t="shared" si="1"/>
        <v>20</v>
      </c>
      <c r="C99" s="157"/>
      <c r="D99" s="158">
        <v>20.0</v>
      </c>
      <c r="E99" s="157"/>
      <c r="F99" s="157"/>
      <c r="G99" s="157"/>
      <c r="H99" s="157"/>
    </row>
    <row r="100">
      <c r="A100" s="157">
        <v>102.0</v>
      </c>
      <c r="B100" s="157">
        <f t="shared" si="1"/>
        <v>20</v>
      </c>
      <c r="C100" s="157"/>
      <c r="D100" s="157"/>
      <c r="E100" s="158">
        <v>20.0</v>
      </c>
      <c r="F100" s="157"/>
      <c r="G100" s="157"/>
      <c r="H100" s="157"/>
    </row>
    <row r="101">
      <c r="A101" s="157">
        <v>103.0</v>
      </c>
      <c r="B101" s="157">
        <f t="shared" si="1"/>
        <v>20</v>
      </c>
      <c r="C101" s="157"/>
      <c r="D101" s="157"/>
      <c r="E101" s="158">
        <v>20.0</v>
      </c>
      <c r="F101" s="157"/>
      <c r="G101" s="157"/>
      <c r="H101" s="157"/>
    </row>
    <row r="102">
      <c r="A102" s="157">
        <v>104.0</v>
      </c>
      <c r="B102" s="157">
        <f t="shared" si="1"/>
        <v>20</v>
      </c>
      <c r="C102" s="157"/>
      <c r="D102" s="158">
        <v>20.0</v>
      </c>
      <c r="E102" s="157"/>
      <c r="F102" s="157"/>
      <c r="G102" s="157"/>
      <c r="H102" s="157"/>
    </row>
    <row r="103">
      <c r="A103" s="157">
        <v>105.0</v>
      </c>
      <c r="B103" s="157">
        <f t="shared" si="1"/>
        <v>20</v>
      </c>
      <c r="C103" s="157"/>
      <c r="D103" s="158">
        <v>10.0</v>
      </c>
      <c r="E103" s="157"/>
      <c r="F103" s="157"/>
      <c r="G103" s="158"/>
      <c r="H103" s="158">
        <v>10.0</v>
      </c>
    </row>
    <row r="104">
      <c r="A104" s="157">
        <v>106.0</v>
      </c>
      <c r="B104" s="157">
        <f t="shared" si="1"/>
        <v>20</v>
      </c>
      <c r="C104" s="157"/>
      <c r="D104" s="158">
        <v>10.0</v>
      </c>
      <c r="E104" s="157"/>
      <c r="F104" s="157"/>
      <c r="G104" s="158"/>
      <c r="H104" s="158">
        <v>10.0</v>
      </c>
    </row>
    <row r="105">
      <c r="A105" s="157">
        <v>107.0</v>
      </c>
      <c r="B105" s="157">
        <f t="shared" si="1"/>
        <v>10</v>
      </c>
      <c r="C105" s="157"/>
      <c r="D105" s="158">
        <v>10.0</v>
      </c>
      <c r="E105" s="157"/>
      <c r="F105" s="157"/>
      <c r="G105" s="157"/>
      <c r="H105" s="157"/>
    </row>
    <row r="106">
      <c r="A106" s="157">
        <v>108.0</v>
      </c>
      <c r="B106" s="157">
        <f t="shared" si="1"/>
        <v>30</v>
      </c>
      <c r="C106" s="157"/>
      <c r="D106" s="157"/>
      <c r="E106" s="157"/>
      <c r="F106" s="158">
        <v>30.0</v>
      </c>
      <c r="G106" s="157"/>
      <c r="H106" s="157"/>
    </row>
    <row r="107">
      <c r="A107" s="157">
        <v>109.0</v>
      </c>
      <c r="B107" s="157">
        <f t="shared" si="1"/>
        <v>30</v>
      </c>
      <c r="C107" s="157"/>
      <c r="D107" s="157"/>
      <c r="E107" s="157"/>
      <c r="F107" s="158">
        <v>30.0</v>
      </c>
      <c r="G107" s="157"/>
      <c r="H107" s="157"/>
    </row>
    <row r="108">
      <c r="A108" s="157">
        <v>110.0</v>
      </c>
      <c r="B108" s="157">
        <f t="shared" si="1"/>
        <v>35</v>
      </c>
      <c r="C108" s="157"/>
      <c r="D108" s="157"/>
      <c r="E108" s="157"/>
      <c r="F108" s="158">
        <v>35.0</v>
      </c>
      <c r="G108" s="157"/>
      <c r="H108" s="157"/>
    </row>
    <row r="109">
      <c r="A109" s="157">
        <v>111.0</v>
      </c>
      <c r="B109" s="157">
        <f t="shared" si="1"/>
        <v>20</v>
      </c>
      <c r="C109" s="157"/>
      <c r="D109" s="158">
        <v>10.0</v>
      </c>
      <c r="E109" s="157"/>
      <c r="F109" s="158">
        <v>10.0</v>
      </c>
      <c r="G109" s="157"/>
      <c r="H109" s="157"/>
    </row>
    <row r="110">
      <c r="A110" s="157">
        <v>112.0</v>
      </c>
      <c r="B110" s="157">
        <f t="shared" si="1"/>
        <v>15</v>
      </c>
      <c r="C110" s="157"/>
      <c r="D110" s="157"/>
      <c r="E110" s="157"/>
      <c r="F110" s="158">
        <v>15.0</v>
      </c>
      <c r="G110" s="157"/>
      <c r="H110" s="157"/>
    </row>
    <row r="111">
      <c r="A111" s="157">
        <v>113.0</v>
      </c>
      <c r="B111" s="157">
        <f t="shared" si="1"/>
        <v>20</v>
      </c>
      <c r="C111" s="157"/>
      <c r="D111" s="157"/>
      <c r="E111" s="157"/>
      <c r="F111" s="158">
        <v>20.0</v>
      </c>
      <c r="G111" s="157"/>
      <c r="H111" s="157"/>
    </row>
    <row r="112">
      <c r="A112" s="157">
        <v>114.0</v>
      </c>
      <c r="B112" s="157">
        <f t="shared" si="1"/>
        <v>27</v>
      </c>
      <c r="C112" s="157"/>
      <c r="D112" s="157"/>
      <c r="E112" s="157"/>
      <c r="F112" s="158">
        <v>27.0</v>
      </c>
      <c r="G112" s="157"/>
      <c r="H112" s="157"/>
    </row>
    <row r="113">
      <c r="A113" s="157">
        <v>115.0</v>
      </c>
      <c r="B113" s="157">
        <f t="shared" si="1"/>
        <v>20</v>
      </c>
      <c r="C113" s="157"/>
      <c r="D113" s="157"/>
      <c r="E113" s="157"/>
      <c r="F113" s="158">
        <v>20.0</v>
      </c>
      <c r="G113" s="157"/>
      <c r="H113" s="157"/>
    </row>
    <row r="114">
      <c r="A114" s="157">
        <v>116.0</v>
      </c>
      <c r="B114" s="157">
        <f t="shared" si="1"/>
        <v>40</v>
      </c>
      <c r="C114" s="158">
        <v>30.0</v>
      </c>
      <c r="D114" s="158">
        <v>10.0</v>
      </c>
      <c r="E114" s="157"/>
      <c r="F114" s="157"/>
      <c r="G114" s="157"/>
      <c r="H114" s="157"/>
    </row>
    <row r="115">
      <c r="A115" s="157">
        <v>117.0</v>
      </c>
      <c r="B115" s="157">
        <f t="shared" si="1"/>
        <v>20</v>
      </c>
      <c r="C115" s="158">
        <v>20.0</v>
      </c>
      <c r="D115" s="157"/>
      <c r="E115" s="157"/>
      <c r="F115" s="157"/>
      <c r="G115" s="157"/>
      <c r="H115" s="157"/>
    </row>
    <row r="116">
      <c r="A116" s="157">
        <v>118.0</v>
      </c>
      <c r="B116" s="157">
        <f t="shared" si="1"/>
        <v>10</v>
      </c>
      <c r="C116" s="158">
        <v>10.0</v>
      </c>
      <c r="D116" s="157"/>
      <c r="E116" s="157"/>
      <c r="F116" s="157"/>
      <c r="G116" s="157"/>
      <c r="H116" s="157"/>
    </row>
    <row r="117">
      <c r="A117" s="157">
        <v>119.0</v>
      </c>
      <c r="B117" s="157">
        <f t="shared" si="1"/>
        <v>25</v>
      </c>
      <c r="C117" s="158">
        <v>25.0</v>
      </c>
      <c r="D117" s="157"/>
      <c r="E117" s="157"/>
      <c r="F117" s="157"/>
      <c r="G117" s="157"/>
      <c r="H117" s="157"/>
    </row>
    <row r="118">
      <c r="A118" s="157">
        <v>120.0</v>
      </c>
      <c r="B118" s="157">
        <f t="shared" si="1"/>
        <v>20</v>
      </c>
      <c r="C118" s="158">
        <v>20.0</v>
      </c>
      <c r="D118" s="157"/>
      <c r="E118" s="157"/>
      <c r="F118" s="157"/>
      <c r="G118" s="157"/>
      <c r="H118" s="157"/>
    </row>
    <row r="119">
      <c r="A119" s="157">
        <v>121.0</v>
      </c>
      <c r="B119" s="157">
        <f t="shared" si="1"/>
        <v>23</v>
      </c>
      <c r="C119" s="158">
        <v>10.0</v>
      </c>
      <c r="D119" s="158">
        <v>13.0</v>
      </c>
      <c r="E119" s="157"/>
      <c r="F119" s="157"/>
      <c r="G119" s="157"/>
      <c r="H119" s="157"/>
    </row>
    <row r="120">
      <c r="A120" s="157">
        <v>122.0</v>
      </c>
      <c r="B120" s="157">
        <f t="shared" si="1"/>
        <v>15</v>
      </c>
      <c r="C120" s="158">
        <v>15.0</v>
      </c>
      <c r="D120" s="157"/>
      <c r="E120" s="157"/>
      <c r="F120" s="157"/>
      <c r="G120" s="157"/>
      <c r="H120" s="157"/>
    </row>
    <row r="121">
      <c r="A121" s="157">
        <v>123.0</v>
      </c>
      <c r="B121" s="157">
        <f t="shared" si="1"/>
        <v>20</v>
      </c>
      <c r="C121" s="158">
        <v>20.0</v>
      </c>
      <c r="D121" s="157"/>
      <c r="E121" s="157"/>
      <c r="F121" s="157"/>
      <c r="G121" s="157"/>
      <c r="H121" s="157"/>
    </row>
    <row r="122">
      <c r="A122" s="157">
        <v>124.0</v>
      </c>
      <c r="B122" s="157">
        <f t="shared" si="1"/>
        <v>10</v>
      </c>
      <c r="C122" s="158">
        <v>10.0</v>
      </c>
      <c r="D122" s="157"/>
      <c r="E122" s="157"/>
      <c r="F122" s="157"/>
      <c r="G122" s="157"/>
      <c r="H122" s="157"/>
    </row>
    <row r="123">
      <c r="A123" s="157">
        <v>125.0</v>
      </c>
      <c r="B123" s="157">
        <f t="shared" si="1"/>
        <v>25</v>
      </c>
      <c r="C123" s="158">
        <v>25.0</v>
      </c>
      <c r="D123" s="157"/>
      <c r="E123" s="157"/>
      <c r="F123" s="157"/>
      <c r="G123" s="157"/>
      <c r="H123" s="157"/>
    </row>
    <row r="124">
      <c r="A124" s="157">
        <v>126.0</v>
      </c>
      <c r="B124" s="157">
        <f t="shared" si="1"/>
        <v>25</v>
      </c>
      <c r="C124" s="158">
        <v>25.0</v>
      </c>
      <c r="D124" s="157"/>
      <c r="E124" s="157"/>
      <c r="F124" s="157"/>
      <c r="G124" s="157"/>
      <c r="H124" s="157"/>
    </row>
    <row r="125">
      <c r="A125" s="157">
        <v>127.0</v>
      </c>
      <c r="B125" s="157">
        <f t="shared" si="1"/>
        <v>20</v>
      </c>
      <c r="C125" s="158">
        <v>20.0</v>
      </c>
      <c r="D125" s="157"/>
      <c r="E125" s="157"/>
      <c r="F125" s="157"/>
      <c r="G125" s="157"/>
      <c r="H125" s="157"/>
    </row>
    <row r="126">
      <c r="A126" s="157">
        <v>128.0</v>
      </c>
      <c r="B126" s="157">
        <f t="shared" si="1"/>
        <v>15</v>
      </c>
      <c r="C126" s="158">
        <v>0.0</v>
      </c>
      <c r="D126" s="158">
        <v>15.0</v>
      </c>
      <c r="E126" s="157"/>
      <c r="F126" s="157"/>
      <c r="G126" s="157"/>
      <c r="H126" s="157"/>
    </row>
    <row r="127">
      <c r="A127" s="157">
        <v>129.0</v>
      </c>
      <c r="B127" s="157">
        <f t="shared" si="1"/>
        <v>10</v>
      </c>
      <c r="C127" s="158">
        <v>0.0</v>
      </c>
      <c r="D127" s="158">
        <v>10.0</v>
      </c>
      <c r="E127" s="157"/>
      <c r="F127" s="157"/>
      <c r="G127" s="157"/>
      <c r="H127" s="157"/>
    </row>
    <row r="128">
      <c r="A128" s="157">
        <v>130.0</v>
      </c>
      <c r="B128" s="157">
        <f t="shared" si="1"/>
        <v>30</v>
      </c>
      <c r="C128" s="158">
        <v>0.0</v>
      </c>
      <c r="D128" s="158">
        <v>30.0</v>
      </c>
      <c r="E128" s="157"/>
      <c r="F128" s="157"/>
      <c r="G128" s="157"/>
      <c r="H128" s="157"/>
    </row>
    <row r="129">
      <c r="A129" s="157">
        <v>131.0</v>
      </c>
      <c r="B129" s="157">
        <f t="shared" si="1"/>
        <v>20</v>
      </c>
      <c r="C129" s="158">
        <v>0.0</v>
      </c>
      <c r="D129" s="158">
        <v>20.0</v>
      </c>
      <c r="E129" s="157"/>
      <c r="F129" s="157"/>
      <c r="G129" s="157"/>
      <c r="H129" s="157"/>
    </row>
    <row r="130">
      <c r="A130" s="157">
        <v>132.0</v>
      </c>
      <c r="B130" s="157">
        <f t="shared" si="1"/>
        <v>10</v>
      </c>
      <c r="C130" s="158">
        <v>0.0</v>
      </c>
      <c r="D130" s="158">
        <v>10.0</v>
      </c>
      <c r="E130" s="157"/>
      <c r="F130" s="157"/>
      <c r="G130" s="157"/>
      <c r="H130" s="157"/>
    </row>
    <row r="131">
      <c r="A131" s="157">
        <v>133.0</v>
      </c>
      <c r="B131" s="157">
        <f t="shared" si="1"/>
        <v>20</v>
      </c>
      <c r="C131" s="158">
        <v>0.0</v>
      </c>
      <c r="D131" s="158">
        <v>20.0</v>
      </c>
      <c r="E131" s="157"/>
      <c r="F131" s="157"/>
      <c r="G131" s="157"/>
      <c r="H131" s="157"/>
    </row>
    <row r="132">
      <c r="A132" s="157">
        <v>134.0</v>
      </c>
      <c r="B132" s="157">
        <f t="shared" si="1"/>
        <v>30</v>
      </c>
      <c r="C132" s="158">
        <v>0.0</v>
      </c>
      <c r="D132" s="158">
        <v>30.0</v>
      </c>
      <c r="E132" s="157"/>
      <c r="F132" s="157"/>
      <c r="G132" s="157"/>
      <c r="H132" s="157"/>
    </row>
    <row r="133">
      <c r="A133" s="157">
        <v>135.0</v>
      </c>
      <c r="B133" s="157">
        <f t="shared" si="1"/>
        <v>23</v>
      </c>
      <c r="C133" s="158">
        <v>0.0</v>
      </c>
      <c r="D133" s="158">
        <v>23.0</v>
      </c>
      <c r="E133" s="157"/>
      <c r="F133" s="157"/>
      <c r="G133" s="157"/>
      <c r="H133" s="157"/>
    </row>
    <row r="134">
      <c r="A134" s="157">
        <v>136.0</v>
      </c>
      <c r="B134" s="157">
        <f t="shared" si="1"/>
        <v>12</v>
      </c>
      <c r="C134" s="158">
        <v>0.0</v>
      </c>
      <c r="D134" s="158">
        <v>12.0</v>
      </c>
      <c r="E134" s="157"/>
      <c r="F134" s="157"/>
      <c r="G134" s="157"/>
      <c r="H134" s="157"/>
    </row>
    <row r="135">
      <c r="A135" s="157">
        <v>137.0</v>
      </c>
      <c r="B135" s="157">
        <f t="shared" si="1"/>
        <v>30</v>
      </c>
      <c r="C135" s="157"/>
      <c r="D135" s="157"/>
      <c r="E135" s="158">
        <v>0.0</v>
      </c>
      <c r="F135" s="158">
        <v>30.0</v>
      </c>
      <c r="G135" s="157"/>
      <c r="H135" s="157"/>
    </row>
    <row r="136">
      <c r="A136" s="157">
        <v>138.0</v>
      </c>
      <c r="B136" s="157">
        <f t="shared" si="1"/>
        <v>30</v>
      </c>
      <c r="C136" s="157"/>
      <c r="D136" s="157"/>
      <c r="E136" s="158">
        <v>0.0</v>
      </c>
      <c r="F136" s="158">
        <v>30.0</v>
      </c>
      <c r="G136" s="157"/>
      <c r="H136" s="157"/>
    </row>
    <row r="137">
      <c r="A137" s="157">
        <v>139.0</v>
      </c>
      <c r="B137" s="157">
        <f t="shared" si="1"/>
        <v>60</v>
      </c>
      <c r="C137" s="157"/>
      <c r="D137" s="157"/>
      <c r="E137" s="158">
        <v>0.0</v>
      </c>
      <c r="F137" s="158">
        <v>60.0</v>
      </c>
      <c r="G137" s="157"/>
      <c r="H137" s="157"/>
    </row>
    <row r="138">
      <c r="A138" s="157">
        <v>140.0</v>
      </c>
      <c r="B138" s="157">
        <f t="shared" si="1"/>
        <v>15</v>
      </c>
      <c r="C138" s="157"/>
      <c r="D138" s="157"/>
      <c r="E138" s="158">
        <v>0.0</v>
      </c>
      <c r="F138" s="158">
        <v>15.0</v>
      </c>
      <c r="G138" s="157"/>
      <c r="H138" s="157"/>
    </row>
    <row r="139">
      <c r="A139" s="157">
        <v>141.0</v>
      </c>
      <c r="B139" s="157">
        <f t="shared" si="1"/>
        <v>30</v>
      </c>
      <c r="C139" s="157"/>
      <c r="D139" s="157"/>
      <c r="E139" s="158">
        <v>30.0</v>
      </c>
      <c r="F139" s="157"/>
      <c r="G139" s="157"/>
      <c r="H139" s="157"/>
    </row>
    <row r="140">
      <c r="A140" s="157">
        <v>142.0</v>
      </c>
      <c r="B140" s="157">
        <f t="shared" si="1"/>
        <v>20</v>
      </c>
      <c r="C140" s="157"/>
      <c r="D140" s="157"/>
      <c r="E140" s="158">
        <v>20.0</v>
      </c>
      <c r="F140" s="157"/>
      <c r="G140" s="157"/>
      <c r="H140" s="157"/>
    </row>
    <row r="141">
      <c r="A141" s="157">
        <v>143.0</v>
      </c>
      <c r="B141" s="157">
        <f t="shared" si="1"/>
        <v>5</v>
      </c>
      <c r="C141" s="157"/>
      <c r="D141" s="157"/>
      <c r="E141" s="158">
        <v>5.0</v>
      </c>
      <c r="F141" s="157"/>
      <c r="G141" s="157"/>
      <c r="H141" s="157"/>
    </row>
    <row r="142">
      <c r="A142" s="157">
        <v>144.0</v>
      </c>
      <c r="B142" s="157">
        <f t="shared" si="1"/>
        <v>5</v>
      </c>
      <c r="C142" s="157"/>
      <c r="D142" s="157"/>
      <c r="E142" s="157"/>
      <c r="F142" s="157"/>
      <c r="G142" s="158"/>
      <c r="H142" s="158">
        <v>5.0</v>
      </c>
    </row>
    <row r="143">
      <c r="A143" s="157">
        <v>145.0</v>
      </c>
      <c r="B143" s="157">
        <f t="shared" si="1"/>
        <v>45</v>
      </c>
      <c r="C143" s="157"/>
      <c r="D143" s="157"/>
      <c r="E143" s="157"/>
      <c r="F143" s="157"/>
      <c r="G143" s="158"/>
      <c r="H143" s="158">
        <v>45.0</v>
      </c>
    </row>
    <row r="144">
      <c r="A144" s="157">
        <v>146.0</v>
      </c>
      <c r="B144" s="157">
        <f t="shared" si="1"/>
        <v>15</v>
      </c>
      <c r="C144" s="157"/>
      <c r="D144" s="157"/>
      <c r="E144" s="157"/>
      <c r="F144" s="157"/>
      <c r="G144" s="158"/>
      <c r="H144" s="158">
        <v>15.0</v>
      </c>
    </row>
    <row r="145">
      <c r="A145" s="157">
        <v>147.0</v>
      </c>
      <c r="B145" s="157">
        <f t="shared" si="1"/>
        <v>0</v>
      </c>
      <c r="C145" s="157"/>
      <c r="D145" s="157"/>
      <c r="E145" s="157"/>
      <c r="F145" s="157"/>
      <c r="G145" s="157"/>
      <c r="H145" s="157"/>
    </row>
    <row r="146">
      <c r="A146" s="157">
        <v>148.0</v>
      </c>
      <c r="B146" s="157">
        <f t="shared" si="1"/>
        <v>0</v>
      </c>
      <c r="C146" s="157"/>
      <c r="D146" s="157"/>
      <c r="E146" s="157"/>
      <c r="F146" s="157"/>
      <c r="G146" s="157"/>
      <c r="H146" s="157"/>
    </row>
    <row r="147">
      <c r="A147" s="145"/>
    </row>
    <row r="148">
      <c r="A148" s="145"/>
    </row>
    <row r="149">
      <c r="A149" s="145"/>
    </row>
    <row r="150">
      <c r="A150" s="145"/>
    </row>
    <row r="151">
      <c r="A151" s="145"/>
    </row>
    <row r="152">
      <c r="A152" s="145"/>
    </row>
    <row r="153">
      <c r="A153" s="145"/>
    </row>
    <row r="154">
      <c r="A154" s="145"/>
    </row>
    <row r="155">
      <c r="A155" s="145"/>
    </row>
    <row r="156">
      <c r="A156" s="145"/>
    </row>
    <row r="157">
      <c r="A157" s="145"/>
    </row>
    <row r="158">
      <c r="A158" s="145"/>
    </row>
    <row r="159">
      <c r="A159" s="145"/>
    </row>
    <row r="160">
      <c r="A160" s="145"/>
    </row>
    <row r="161">
      <c r="A161" s="145"/>
    </row>
    <row r="162">
      <c r="A162" s="145"/>
    </row>
    <row r="163">
      <c r="A163" s="145"/>
    </row>
    <row r="164">
      <c r="A164" s="145"/>
    </row>
    <row r="165">
      <c r="A165" s="145"/>
    </row>
    <row r="166">
      <c r="A166" s="145"/>
    </row>
    <row r="167">
      <c r="A167" s="145"/>
    </row>
    <row r="168">
      <c r="A168" s="145"/>
    </row>
    <row r="169">
      <c r="A169" s="145"/>
    </row>
    <row r="170">
      <c r="A170" s="145"/>
    </row>
    <row r="171">
      <c r="A171" s="145"/>
    </row>
    <row r="172">
      <c r="A172" s="145"/>
    </row>
    <row r="173">
      <c r="A173" s="145"/>
    </row>
    <row r="174">
      <c r="A174" s="145"/>
    </row>
    <row r="175">
      <c r="A175" s="145"/>
    </row>
    <row r="176">
      <c r="A176" s="145"/>
    </row>
    <row r="177">
      <c r="A177" s="145"/>
    </row>
    <row r="178">
      <c r="A178" s="145"/>
    </row>
    <row r="179">
      <c r="A179" s="145"/>
    </row>
    <row r="180">
      <c r="A180" s="145"/>
    </row>
    <row r="181">
      <c r="A181" s="145"/>
    </row>
    <row r="182">
      <c r="A182" s="145"/>
    </row>
    <row r="183">
      <c r="A183" s="145"/>
    </row>
    <row r="184">
      <c r="A184" s="145"/>
    </row>
    <row r="185">
      <c r="A185" s="145"/>
    </row>
    <row r="186">
      <c r="A186" s="145"/>
    </row>
    <row r="187">
      <c r="A187" s="145"/>
    </row>
    <row r="188">
      <c r="A188" s="145"/>
    </row>
    <row r="189">
      <c r="A189" s="145"/>
    </row>
    <row r="190">
      <c r="A190" s="145"/>
    </row>
    <row r="191">
      <c r="A191" s="145"/>
    </row>
    <row r="192">
      <c r="A192" s="145"/>
    </row>
    <row r="193">
      <c r="A193" s="145"/>
    </row>
    <row r="194">
      <c r="A194" s="145"/>
    </row>
    <row r="195">
      <c r="A195" s="145"/>
    </row>
    <row r="196">
      <c r="A196" s="145"/>
    </row>
    <row r="197">
      <c r="A197" s="145"/>
    </row>
    <row r="198">
      <c r="A198" s="145"/>
    </row>
    <row r="199">
      <c r="A199" s="145"/>
    </row>
    <row r="200">
      <c r="A200" s="145"/>
    </row>
    <row r="201">
      <c r="A201" s="145"/>
    </row>
    <row r="202">
      <c r="A202" s="145"/>
    </row>
    <row r="203">
      <c r="A203" s="145"/>
    </row>
    <row r="204">
      <c r="A204" s="145"/>
    </row>
    <row r="205">
      <c r="A205" s="145"/>
    </row>
    <row r="206">
      <c r="A206" s="145"/>
    </row>
    <row r="207">
      <c r="A207" s="145"/>
    </row>
    <row r="208">
      <c r="A208" s="145"/>
    </row>
    <row r="209">
      <c r="A209" s="145"/>
    </row>
    <row r="210">
      <c r="A210" s="145"/>
    </row>
    <row r="211">
      <c r="A211" s="145"/>
    </row>
    <row r="212">
      <c r="A212" s="145"/>
    </row>
    <row r="213">
      <c r="A213" s="145"/>
    </row>
    <row r="214">
      <c r="A214" s="145"/>
    </row>
    <row r="215">
      <c r="A215" s="145"/>
    </row>
    <row r="216">
      <c r="A216" s="145"/>
    </row>
    <row r="217">
      <c r="A217" s="145"/>
    </row>
    <row r="218">
      <c r="A218" s="145"/>
    </row>
    <row r="219">
      <c r="A219" s="145"/>
    </row>
    <row r="220">
      <c r="A220" s="145"/>
    </row>
    <row r="221">
      <c r="A221" s="145"/>
    </row>
    <row r="222">
      <c r="A222" s="145"/>
    </row>
    <row r="223">
      <c r="A223" s="145"/>
    </row>
    <row r="224">
      <c r="A224" s="145"/>
    </row>
    <row r="225">
      <c r="A225" s="145"/>
    </row>
    <row r="226">
      <c r="A226" s="145"/>
    </row>
    <row r="227">
      <c r="A227" s="145"/>
    </row>
    <row r="228">
      <c r="A228" s="145"/>
    </row>
    <row r="229">
      <c r="A229" s="145"/>
    </row>
    <row r="230">
      <c r="A230" s="145"/>
    </row>
    <row r="231">
      <c r="A231" s="145"/>
    </row>
    <row r="232">
      <c r="A232" s="145"/>
    </row>
    <row r="233">
      <c r="A233" s="145"/>
    </row>
    <row r="234">
      <c r="A234" s="145"/>
    </row>
    <row r="235">
      <c r="A235" s="145"/>
    </row>
    <row r="236">
      <c r="A236" s="145"/>
    </row>
    <row r="237">
      <c r="A237" s="145"/>
    </row>
    <row r="238">
      <c r="A238" s="145"/>
    </row>
    <row r="239">
      <c r="A239" s="145"/>
    </row>
    <row r="240">
      <c r="A240" s="145"/>
    </row>
    <row r="241">
      <c r="A241" s="145"/>
    </row>
    <row r="242">
      <c r="A242" s="145"/>
    </row>
    <row r="243">
      <c r="A243" s="145"/>
    </row>
    <row r="244">
      <c r="A244" s="145"/>
    </row>
    <row r="245">
      <c r="A245" s="145"/>
    </row>
    <row r="246">
      <c r="A246" s="145"/>
    </row>
    <row r="247">
      <c r="A247" s="145"/>
    </row>
    <row r="248">
      <c r="A248" s="145"/>
    </row>
    <row r="249">
      <c r="A249" s="145"/>
    </row>
    <row r="250">
      <c r="A250" s="145"/>
    </row>
    <row r="251">
      <c r="A251" s="145"/>
    </row>
    <row r="252">
      <c r="A252" s="145"/>
    </row>
    <row r="253">
      <c r="A253" s="145"/>
    </row>
    <row r="254">
      <c r="A254" s="145"/>
    </row>
    <row r="255">
      <c r="A255" s="145"/>
    </row>
    <row r="256">
      <c r="A256" s="145"/>
    </row>
    <row r="257">
      <c r="A257" s="145"/>
    </row>
    <row r="258">
      <c r="A258" s="145"/>
    </row>
    <row r="259">
      <c r="A259" s="145"/>
    </row>
    <row r="260">
      <c r="A260" s="145"/>
    </row>
    <row r="261">
      <c r="A261" s="145"/>
    </row>
    <row r="262">
      <c r="A262" s="145"/>
    </row>
    <row r="263">
      <c r="A263" s="145"/>
    </row>
    <row r="264">
      <c r="A264" s="145"/>
    </row>
    <row r="265">
      <c r="A265" s="145"/>
    </row>
    <row r="266">
      <c r="A266" s="145"/>
    </row>
    <row r="267">
      <c r="A267" s="145"/>
    </row>
    <row r="268">
      <c r="A268" s="145"/>
    </row>
    <row r="269">
      <c r="A269" s="145"/>
    </row>
    <row r="270">
      <c r="A270" s="145"/>
    </row>
    <row r="271">
      <c r="A271" s="145"/>
    </row>
    <row r="272">
      <c r="A272" s="145"/>
    </row>
    <row r="273">
      <c r="A273" s="145"/>
    </row>
    <row r="274">
      <c r="A274" s="145"/>
    </row>
    <row r="275">
      <c r="A275" s="145"/>
    </row>
    <row r="276">
      <c r="A276" s="145"/>
    </row>
    <row r="277">
      <c r="A277" s="145"/>
    </row>
    <row r="278">
      <c r="A278" s="145"/>
    </row>
    <row r="279">
      <c r="A279" s="145"/>
    </row>
    <row r="280">
      <c r="A280" s="145"/>
    </row>
    <row r="281">
      <c r="A281" s="145"/>
    </row>
    <row r="282">
      <c r="A282" s="145"/>
    </row>
    <row r="283">
      <c r="A283" s="145"/>
    </row>
    <row r="284">
      <c r="A284" s="145"/>
    </row>
    <row r="285">
      <c r="A285" s="145"/>
    </row>
    <row r="286">
      <c r="A286" s="145"/>
    </row>
    <row r="287">
      <c r="A287" s="145"/>
    </row>
    <row r="288">
      <c r="A288" s="145"/>
    </row>
    <row r="289">
      <c r="A289" s="145"/>
    </row>
    <row r="290">
      <c r="A290" s="145"/>
    </row>
    <row r="291">
      <c r="A291" s="145"/>
    </row>
    <row r="292">
      <c r="A292" s="145"/>
    </row>
    <row r="293">
      <c r="A293" s="145"/>
    </row>
    <row r="294">
      <c r="A294" s="145"/>
    </row>
    <row r="295">
      <c r="A295" s="145"/>
    </row>
    <row r="296">
      <c r="A296" s="145"/>
    </row>
    <row r="297">
      <c r="A297" s="145"/>
    </row>
    <row r="298">
      <c r="A298" s="145"/>
    </row>
    <row r="299">
      <c r="A299" s="145"/>
    </row>
    <row r="300">
      <c r="A300" s="145"/>
    </row>
    <row r="301">
      <c r="A301" s="145"/>
    </row>
    <row r="302">
      <c r="A302" s="145"/>
    </row>
    <row r="303">
      <c r="A303" s="145"/>
    </row>
    <row r="304">
      <c r="A304" s="145"/>
    </row>
    <row r="305">
      <c r="A305" s="145"/>
    </row>
    <row r="306">
      <c r="A306" s="145"/>
    </row>
    <row r="307">
      <c r="A307" s="145"/>
    </row>
    <row r="308">
      <c r="A308" s="145"/>
    </row>
    <row r="309">
      <c r="A309" s="145"/>
    </row>
    <row r="310">
      <c r="A310" s="145"/>
    </row>
    <row r="311">
      <c r="A311" s="145"/>
    </row>
    <row r="312">
      <c r="A312" s="145"/>
    </row>
    <row r="313">
      <c r="A313" s="145"/>
    </row>
    <row r="314">
      <c r="A314" s="145"/>
    </row>
    <row r="315">
      <c r="A315" s="145"/>
    </row>
    <row r="316">
      <c r="A316" s="145"/>
    </row>
    <row r="317">
      <c r="A317" s="145"/>
    </row>
    <row r="318">
      <c r="A318" s="145"/>
    </row>
    <row r="319">
      <c r="A319" s="145"/>
    </row>
    <row r="320">
      <c r="A320" s="145"/>
    </row>
    <row r="321">
      <c r="A321" s="145"/>
    </row>
    <row r="322">
      <c r="A322" s="145"/>
    </row>
    <row r="323">
      <c r="A323" s="145"/>
    </row>
    <row r="324">
      <c r="A324" s="145"/>
    </row>
    <row r="325">
      <c r="A325" s="145"/>
    </row>
    <row r="326">
      <c r="A326" s="145"/>
    </row>
    <row r="327">
      <c r="A327" s="145"/>
    </row>
    <row r="328">
      <c r="A328" s="145"/>
    </row>
    <row r="329">
      <c r="A329" s="145"/>
    </row>
    <row r="330">
      <c r="A330" s="145"/>
    </row>
    <row r="331">
      <c r="A331" s="145"/>
    </row>
    <row r="332">
      <c r="A332" s="145"/>
    </row>
    <row r="333">
      <c r="A333" s="145"/>
    </row>
    <row r="334">
      <c r="A334" s="145"/>
    </row>
    <row r="335">
      <c r="A335" s="145"/>
    </row>
    <row r="336">
      <c r="A336" s="145"/>
    </row>
    <row r="337">
      <c r="A337" s="145"/>
    </row>
    <row r="338">
      <c r="A338" s="145"/>
    </row>
    <row r="339">
      <c r="A339" s="145"/>
    </row>
    <row r="340">
      <c r="A340" s="145"/>
    </row>
    <row r="341">
      <c r="A341" s="145"/>
    </row>
    <row r="342">
      <c r="A342" s="145"/>
    </row>
    <row r="343">
      <c r="A343" s="145"/>
    </row>
    <row r="344">
      <c r="A344" s="145"/>
    </row>
    <row r="345">
      <c r="A345" s="145"/>
    </row>
    <row r="346">
      <c r="A346" s="145"/>
    </row>
    <row r="347">
      <c r="A347" s="145"/>
    </row>
    <row r="348">
      <c r="A348" s="145"/>
    </row>
    <row r="349">
      <c r="A349" s="145"/>
    </row>
    <row r="350">
      <c r="A350" s="145"/>
    </row>
    <row r="351">
      <c r="A351" s="145"/>
    </row>
    <row r="352">
      <c r="A352" s="145"/>
    </row>
    <row r="353">
      <c r="A353" s="145"/>
    </row>
    <row r="354">
      <c r="A354" s="145"/>
    </row>
    <row r="355">
      <c r="A355" s="145"/>
    </row>
    <row r="356">
      <c r="A356" s="145"/>
    </row>
    <row r="357">
      <c r="A357" s="145"/>
    </row>
    <row r="358">
      <c r="A358" s="145"/>
    </row>
    <row r="359">
      <c r="A359" s="145"/>
    </row>
    <row r="360">
      <c r="A360" s="145"/>
    </row>
    <row r="361">
      <c r="A361" s="145"/>
    </row>
    <row r="362">
      <c r="A362" s="145"/>
    </row>
    <row r="363">
      <c r="A363" s="145"/>
    </row>
    <row r="364">
      <c r="A364" s="145"/>
    </row>
    <row r="365">
      <c r="A365" s="145"/>
    </row>
    <row r="366">
      <c r="A366" s="145"/>
    </row>
    <row r="367">
      <c r="A367" s="145"/>
    </row>
    <row r="368">
      <c r="A368" s="145"/>
    </row>
    <row r="369">
      <c r="A369" s="145"/>
    </row>
    <row r="370">
      <c r="A370" s="145"/>
    </row>
    <row r="371">
      <c r="A371" s="145"/>
    </row>
    <row r="372">
      <c r="A372" s="145"/>
    </row>
    <row r="373">
      <c r="A373" s="145"/>
    </row>
    <row r="374">
      <c r="A374" s="145"/>
    </row>
    <row r="375">
      <c r="A375" s="145"/>
    </row>
    <row r="376">
      <c r="A376" s="145"/>
    </row>
    <row r="377">
      <c r="A377" s="145"/>
    </row>
    <row r="378">
      <c r="A378" s="145"/>
    </row>
    <row r="379">
      <c r="A379" s="145"/>
    </row>
    <row r="380">
      <c r="A380" s="145"/>
    </row>
    <row r="381">
      <c r="A381" s="145"/>
    </row>
    <row r="382">
      <c r="A382" s="145"/>
    </row>
    <row r="383">
      <c r="A383" s="145"/>
    </row>
    <row r="384">
      <c r="A384" s="145"/>
    </row>
    <row r="385">
      <c r="A385" s="145"/>
    </row>
    <row r="386">
      <c r="A386" s="145"/>
    </row>
    <row r="387">
      <c r="A387" s="145"/>
    </row>
    <row r="388">
      <c r="A388" s="145"/>
    </row>
    <row r="389">
      <c r="A389" s="145"/>
    </row>
    <row r="390">
      <c r="A390" s="145"/>
    </row>
    <row r="391">
      <c r="A391" s="145"/>
    </row>
    <row r="392">
      <c r="A392" s="145"/>
    </row>
    <row r="393">
      <c r="A393" s="145"/>
    </row>
    <row r="394">
      <c r="A394" s="145"/>
    </row>
    <row r="395">
      <c r="A395" s="145"/>
    </row>
    <row r="396">
      <c r="A396" s="145"/>
    </row>
    <row r="397">
      <c r="A397" s="145"/>
    </row>
    <row r="398">
      <c r="A398" s="145"/>
    </row>
    <row r="399">
      <c r="A399" s="145"/>
    </row>
    <row r="400">
      <c r="A400" s="145"/>
    </row>
    <row r="401">
      <c r="A401" s="145"/>
    </row>
    <row r="402">
      <c r="A402" s="145"/>
    </row>
    <row r="403">
      <c r="A403" s="145"/>
    </row>
    <row r="404">
      <c r="A404" s="145"/>
    </row>
    <row r="405">
      <c r="A405" s="145"/>
    </row>
    <row r="406">
      <c r="A406" s="145"/>
    </row>
    <row r="407">
      <c r="A407" s="145"/>
    </row>
    <row r="408">
      <c r="A408" s="145"/>
    </row>
    <row r="409">
      <c r="A409" s="145"/>
    </row>
    <row r="410">
      <c r="A410" s="145"/>
    </row>
    <row r="411">
      <c r="A411" s="145"/>
    </row>
    <row r="412">
      <c r="A412" s="145"/>
    </row>
    <row r="413">
      <c r="A413" s="145"/>
    </row>
    <row r="414">
      <c r="A414" s="145"/>
    </row>
    <row r="415">
      <c r="A415" s="145"/>
    </row>
    <row r="416">
      <c r="A416" s="145"/>
    </row>
    <row r="417">
      <c r="A417" s="145"/>
    </row>
    <row r="418">
      <c r="A418" s="145"/>
    </row>
    <row r="419">
      <c r="A419" s="145"/>
    </row>
    <row r="420">
      <c r="A420" s="145"/>
    </row>
    <row r="421">
      <c r="A421" s="145"/>
    </row>
    <row r="422">
      <c r="A422" s="145"/>
    </row>
    <row r="423">
      <c r="A423" s="145"/>
    </row>
    <row r="424">
      <c r="A424" s="145"/>
    </row>
    <row r="425">
      <c r="A425" s="145"/>
    </row>
    <row r="426">
      <c r="A426" s="145"/>
    </row>
    <row r="427">
      <c r="A427" s="145"/>
    </row>
    <row r="428">
      <c r="A428" s="145"/>
    </row>
    <row r="429">
      <c r="A429" s="145"/>
    </row>
    <row r="430">
      <c r="A430" s="145"/>
    </row>
    <row r="431">
      <c r="A431" s="145"/>
    </row>
    <row r="432">
      <c r="A432" s="145"/>
    </row>
    <row r="433">
      <c r="A433" s="145"/>
    </row>
    <row r="434">
      <c r="A434" s="145"/>
    </row>
    <row r="435">
      <c r="A435" s="145"/>
    </row>
    <row r="436">
      <c r="A436" s="145"/>
    </row>
    <row r="437">
      <c r="A437" s="145"/>
    </row>
    <row r="438">
      <c r="A438" s="145"/>
    </row>
    <row r="439">
      <c r="A439" s="145"/>
    </row>
    <row r="440">
      <c r="A440" s="145"/>
    </row>
    <row r="441">
      <c r="A441" s="145"/>
    </row>
    <row r="442">
      <c r="A442" s="145"/>
    </row>
    <row r="443">
      <c r="A443" s="145"/>
    </row>
    <row r="444">
      <c r="A444" s="145"/>
    </row>
    <row r="445">
      <c r="A445" s="145"/>
    </row>
    <row r="446">
      <c r="A446" s="145"/>
    </row>
    <row r="447">
      <c r="A447" s="145"/>
    </row>
    <row r="448">
      <c r="A448" s="145"/>
    </row>
    <row r="449">
      <c r="A449" s="145"/>
    </row>
    <row r="450">
      <c r="A450" s="145"/>
    </row>
    <row r="451">
      <c r="A451" s="145"/>
    </row>
    <row r="452">
      <c r="A452" s="145"/>
    </row>
    <row r="453">
      <c r="A453" s="145"/>
    </row>
    <row r="454">
      <c r="A454" s="145"/>
    </row>
    <row r="455">
      <c r="A455" s="145"/>
    </row>
    <row r="456">
      <c r="A456" s="145"/>
    </row>
    <row r="457">
      <c r="A457" s="145"/>
    </row>
    <row r="458">
      <c r="A458" s="145"/>
    </row>
    <row r="459">
      <c r="A459" s="145"/>
    </row>
    <row r="460">
      <c r="A460" s="145"/>
    </row>
    <row r="461">
      <c r="A461" s="145"/>
    </row>
    <row r="462">
      <c r="A462" s="145"/>
    </row>
    <row r="463">
      <c r="A463" s="145"/>
    </row>
    <row r="464">
      <c r="A464" s="145"/>
    </row>
    <row r="465">
      <c r="A465" s="145"/>
    </row>
    <row r="466">
      <c r="A466" s="145"/>
    </row>
    <row r="467">
      <c r="A467" s="145"/>
    </row>
    <row r="468">
      <c r="A468" s="145"/>
    </row>
    <row r="469">
      <c r="A469" s="145"/>
    </row>
    <row r="470">
      <c r="A470" s="145"/>
    </row>
    <row r="471">
      <c r="A471" s="145"/>
    </row>
    <row r="472">
      <c r="A472" s="145"/>
    </row>
    <row r="473">
      <c r="A473" s="145"/>
    </row>
    <row r="474">
      <c r="A474" s="145"/>
    </row>
    <row r="475">
      <c r="A475" s="145"/>
    </row>
    <row r="476">
      <c r="A476" s="145"/>
    </row>
    <row r="477">
      <c r="A477" s="145"/>
    </row>
    <row r="478">
      <c r="A478" s="145"/>
    </row>
    <row r="479">
      <c r="A479" s="145"/>
    </row>
    <row r="480">
      <c r="A480" s="145"/>
    </row>
    <row r="481">
      <c r="A481" s="145"/>
    </row>
    <row r="482">
      <c r="A482" s="145"/>
    </row>
    <row r="483">
      <c r="A483" s="145"/>
    </row>
    <row r="484">
      <c r="A484" s="145"/>
    </row>
    <row r="485">
      <c r="A485" s="145"/>
    </row>
    <row r="486">
      <c r="A486" s="145"/>
    </row>
    <row r="487">
      <c r="A487" s="145"/>
    </row>
    <row r="488">
      <c r="A488" s="145"/>
    </row>
    <row r="489">
      <c r="A489" s="145"/>
    </row>
    <row r="490">
      <c r="A490" s="145"/>
    </row>
    <row r="491">
      <c r="A491" s="145"/>
    </row>
    <row r="492">
      <c r="A492" s="145"/>
    </row>
    <row r="493">
      <c r="A493" s="145"/>
    </row>
    <row r="494">
      <c r="A494" s="145"/>
    </row>
    <row r="495">
      <c r="A495" s="145"/>
    </row>
    <row r="496">
      <c r="A496" s="145"/>
    </row>
    <row r="497">
      <c r="A497" s="145"/>
    </row>
    <row r="498">
      <c r="A498" s="145"/>
    </row>
    <row r="499">
      <c r="A499" s="145"/>
    </row>
    <row r="500">
      <c r="A500" s="145"/>
    </row>
    <row r="501">
      <c r="A501" s="145"/>
    </row>
    <row r="502">
      <c r="A502" s="145"/>
    </row>
    <row r="503">
      <c r="A503" s="145"/>
    </row>
    <row r="504">
      <c r="A504" s="145"/>
    </row>
    <row r="505">
      <c r="A505" s="145"/>
    </row>
    <row r="506">
      <c r="A506" s="145"/>
    </row>
    <row r="507">
      <c r="A507" s="145"/>
    </row>
    <row r="508">
      <c r="A508" s="145"/>
    </row>
    <row r="509">
      <c r="A509" s="145"/>
    </row>
    <row r="510">
      <c r="A510" s="145"/>
    </row>
    <row r="511">
      <c r="A511" s="145"/>
    </row>
    <row r="512">
      <c r="A512" s="145"/>
    </row>
    <row r="513">
      <c r="A513" s="145"/>
    </row>
    <row r="514">
      <c r="A514" s="145"/>
    </row>
    <row r="515">
      <c r="A515" s="145"/>
    </row>
    <row r="516">
      <c r="A516" s="145"/>
    </row>
    <row r="517">
      <c r="A517" s="145"/>
    </row>
    <row r="518">
      <c r="A518" s="145"/>
    </row>
    <row r="519">
      <c r="A519" s="145"/>
    </row>
    <row r="520">
      <c r="A520" s="145"/>
    </row>
    <row r="521">
      <c r="A521" s="145"/>
    </row>
    <row r="522">
      <c r="A522" s="145"/>
    </row>
    <row r="523">
      <c r="A523" s="145"/>
    </row>
    <row r="524">
      <c r="A524" s="145"/>
    </row>
    <row r="525">
      <c r="A525" s="145"/>
    </row>
    <row r="526">
      <c r="A526" s="145"/>
    </row>
    <row r="527">
      <c r="A527" s="145"/>
    </row>
    <row r="528">
      <c r="A528" s="145"/>
    </row>
    <row r="529">
      <c r="A529" s="145"/>
    </row>
    <row r="530">
      <c r="A530" s="145"/>
    </row>
    <row r="531">
      <c r="A531" s="145"/>
    </row>
    <row r="532">
      <c r="A532" s="145"/>
    </row>
    <row r="533">
      <c r="A533" s="145"/>
    </row>
    <row r="534">
      <c r="A534" s="145"/>
    </row>
    <row r="535">
      <c r="A535" s="145"/>
    </row>
    <row r="536">
      <c r="A536" s="145"/>
    </row>
    <row r="537">
      <c r="A537" s="145"/>
    </row>
    <row r="538">
      <c r="A538" s="145"/>
    </row>
    <row r="539">
      <c r="A539" s="145"/>
    </row>
    <row r="540">
      <c r="A540" s="145"/>
    </row>
    <row r="541">
      <c r="A541" s="145"/>
    </row>
    <row r="542">
      <c r="A542" s="145"/>
    </row>
    <row r="543">
      <c r="A543" s="145"/>
    </row>
    <row r="544">
      <c r="A544" s="145"/>
    </row>
    <row r="545">
      <c r="A545" s="145"/>
    </row>
    <row r="546">
      <c r="A546" s="145"/>
    </row>
    <row r="547">
      <c r="A547" s="145"/>
    </row>
    <row r="548">
      <c r="A548" s="145"/>
    </row>
    <row r="549">
      <c r="A549" s="145"/>
    </row>
    <row r="550">
      <c r="A550" s="145"/>
    </row>
    <row r="551">
      <c r="A551" s="145"/>
    </row>
    <row r="552">
      <c r="A552" s="145"/>
    </row>
    <row r="553">
      <c r="A553" s="145"/>
    </row>
    <row r="554">
      <c r="A554" s="145"/>
    </row>
    <row r="555">
      <c r="A555" s="145"/>
    </row>
    <row r="556">
      <c r="A556" s="145"/>
    </row>
    <row r="557">
      <c r="A557" s="145"/>
    </row>
    <row r="558">
      <c r="A558" s="145"/>
    </row>
    <row r="559">
      <c r="A559" s="145"/>
    </row>
    <row r="560">
      <c r="A560" s="145"/>
    </row>
    <row r="561">
      <c r="A561" s="145"/>
    </row>
    <row r="562">
      <c r="A562" s="145"/>
    </row>
    <row r="563">
      <c r="A563" s="145"/>
    </row>
    <row r="564">
      <c r="A564" s="145"/>
    </row>
    <row r="565">
      <c r="A565" s="145"/>
    </row>
    <row r="566">
      <c r="A566" s="145"/>
    </row>
    <row r="567">
      <c r="A567" s="145"/>
    </row>
    <row r="568">
      <c r="A568" s="145"/>
    </row>
    <row r="569">
      <c r="A569" s="145"/>
    </row>
    <row r="570">
      <c r="A570" s="145"/>
    </row>
    <row r="571">
      <c r="A571" s="145"/>
    </row>
    <row r="572">
      <c r="A572" s="145"/>
    </row>
    <row r="573">
      <c r="A573" s="145"/>
    </row>
    <row r="574">
      <c r="A574" s="145"/>
    </row>
    <row r="575">
      <c r="A575" s="145"/>
    </row>
    <row r="576">
      <c r="A576" s="145"/>
    </row>
    <row r="577">
      <c r="A577" s="145"/>
    </row>
    <row r="578">
      <c r="A578" s="145"/>
    </row>
    <row r="579">
      <c r="A579" s="145"/>
    </row>
    <row r="580">
      <c r="A580" s="145"/>
    </row>
    <row r="581">
      <c r="A581" s="145"/>
    </row>
    <row r="582">
      <c r="A582" s="145"/>
    </row>
    <row r="583">
      <c r="A583" s="145"/>
    </row>
    <row r="584">
      <c r="A584" s="145"/>
    </row>
    <row r="585">
      <c r="A585" s="145"/>
    </row>
    <row r="586">
      <c r="A586" s="145"/>
    </row>
    <row r="587">
      <c r="A587" s="145"/>
    </row>
    <row r="588">
      <c r="A588" s="145"/>
    </row>
    <row r="589">
      <c r="A589" s="145"/>
    </row>
    <row r="590">
      <c r="A590" s="145"/>
    </row>
    <row r="591">
      <c r="A591" s="145"/>
    </row>
    <row r="592">
      <c r="A592" s="145"/>
    </row>
    <row r="593">
      <c r="A593" s="145"/>
    </row>
    <row r="594">
      <c r="A594" s="145"/>
    </row>
    <row r="595">
      <c r="A595" s="145"/>
    </row>
    <row r="596">
      <c r="A596" s="145"/>
    </row>
    <row r="597">
      <c r="A597" s="145"/>
    </row>
    <row r="598">
      <c r="A598" s="145"/>
    </row>
    <row r="599">
      <c r="A599" s="145"/>
    </row>
    <row r="600">
      <c r="A600" s="145"/>
    </row>
    <row r="601">
      <c r="A601" s="145"/>
    </row>
    <row r="602">
      <c r="A602" s="145"/>
    </row>
    <row r="603">
      <c r="A603" s="145"/>
    </row>
    <row r="604">
      <c r="A604" s="145"/>
    </row>
    <row r="605">
      <c r="A605" s="145"/>
    </row>
    <row r="606">
      <c r="A606" s="145"/>
    </row>
    <row r="607">
      <c r="A607" s="145"/>
    </row>
    <row r="608">
      <c r="A608" s="145"/>
    </row>
    <row r="609">
      <c r="A609" s="145"/>
    </row>
    <row r="610">
      <c r="A610" s="145"/>
    </row>
    <row r="611">
      <c r="A611" s="145"/>
    </row>
    <row r="612">
      <c r="A612" s="145"/>
    </row>
    <row r="613">
      <c r="A613" s="145"/>
    </row>
    <row r="614">
      <c r="A614" s="145"/>
    </row>
    <row r="615">
      <c r="A615" s="145"/>
    </row>
    <row r="616">
      <c r="A616" s="145"/>
    </row>
    <row r="617">
      <c r="A617" s="145"/>
    </row>
    <row r="618">
      <c r="A618" s="145"/>
    </row>
    <row r="619">
      <c r="A619" s="145"/>
    </row>
    <row r="620">
      <c r="A620" s="145"/>
    </row>
    <row r="621">
      <c r="A621" s="145"/>
    </row>
    <row r="622">
      <c r="A622" s="145"/>
    </row>
    <row r="623">
      <c r="A623" s="145"/>
    </row>
    <row r="624">
      <c r="A624" s="145"/>
    </row>
    <row r="625">
      <c r="A625" s="145"/>
    </row>
    <row r="626">
      <c r="A626" s="145"/>
    </row>
    <row r="627">
      <c r="A627" s="145"/>
    </row>
    <row r="628">
      <c r="A628" s="145"/>
    </row>
    <row r="629">
      <c r="A629" s="145"/>
    </row>
    <row r="630">
      <c r="A630" s="145"/>
    </row>
    <row r="631">
      <c r="A631" s="145"/>
    </row>
    <row r="632">
      <c r="A632" s="145"/>
    </row>
    <row r="633">
      <c r="A633" s="145"/>
    </row>
    <row r="634">
      <c r="A634" s="145"/>
    </row>
    <row r="635">
      <c r="A635" s="145"/>
    </row>
    <row r="636">
      <c r="A636" s="145"/>
    </row>
    <row r="637">
      <c r="A637" s="145"/>
    </row>
    <row r="638">
      <c r="A638" s="145"/>
    </row>
    <row r="639">
      <c r="A639" s="145"/>
    </row>
    <row r="640">
      <c r="A640" s="145"/>
    </row>
    <row r="641">
      <c r="A641" s="145"/>
    </row>
    <row r="642">
      <c r="A642" s="145"/>
    </row>
    <row r="643">
      <c r="A643" s="145"/>
    </row>
    <row r="644">
      <c r="A644" s="145"/>
    </row>
    <row r="645">
      <c r="A645" s="145"/>
    </row>
    <row r="646">
      <c r="A646" s="145"/>
    </row>
    <row r="647">
      <c r="A647" s="145"/>
    </row>
    <row r="648">
      <c r="A648" s="145"/>
    </row>
    <row r="649">
      <c r="A649" s="145"/>
    </row>
    <row r="650">
      <c r="A650" s="145"/>
    </row>
    <row r="651">
      <c r="A651" s="145"/>
    </row>
    <row r="652">
      <c r="A652" s="145"/>
    </row>
    <row r="653">
      <c r="A653" s="145"/>
    </row>
    <row r="654">
      <c r="A654" s="145"/>
    </row>
    <row r="655">
      <c r="A655" s="145"/>
    </row>
    <row r="656">
      <c r="A656" s="145"/>
    </row>
    <row r="657">
      <c r="A657" s="145"/>
    </row>
    <row r="658">
      <c r="A658" s="145"/>
    </row>
    <row r="659">
      <c r="A659" s="145"/>
    </row>
    <row r="660">
      <c r="A660" s="145"/>
    </row>
    <row r="661">
      <c r="A661" s="145"/>
    </row>
    <row r="662">
      <c r="A662" s="145"/>
    </row>
    <row r="663">
      <c r="A663" s="145"/>
    </row>
    <row r="664">
      <c r="A664" s="145"/>
    </row>
    <row r="665">
      <c r="A665" s="145"/>
    </row>
    <row r="666">
      <c r="A666" s="145"/>
    </row>
    <row r="667">
      <c r="A667" s="145"/>
    </row>
    <row r="668">
      <c r="A668" s="145"/>
    </row>
    <row r="669">
      <c r="A669" s="145"/>
    </row>
    <row r="670">
      <c r="A670" s="145"/>
    </row>
    <row r="671">
      <c r="A671" s="145"/>
    </row>
    <row r="672">
      <c r="A672" s="145"/>
    </row>
    <row r="673">
      <c r="A673" s="145"/>
    </row>
    <row r="674">
      <c r="A674" s="145"/>
    </row>
    <row r="675">
      <c r="A675" s="145"/>
    </row>
    <row r="676">
      <c r="A676" s="145"/>
    </row>
    <row r="677">
      <c r="A677" s="145"/>
    </row>
    <row r="678">
      <c r="A678" s="145"/>
    </row>
    <row r="679">
      <c r="A679" s="145"/>
    </row>
    <row r="680">
      <c r="A680" s="145"/>
    </row>
    <row r="681">
      <c r="A681" s="145"/>
    </row>
    <row r="682">
      <c r="A682" s="145"/>
    </row>
    <row r="683">
      <c r="A683" s="145"/>
    </row>
    <row r="684">
      <c r="A684" s="145"/>
    </row>
    <row r="685">
      <c r="A685" s="145"/>
    </row>
    <row r="686">
      <c r="A686" s="145"/>
    </row>
    <row r="687">
      <c r="A687" s="145"/>
    </row>
    <row r="688">
      <c r="A688" s="145"/>
    </row>
    <row r="689">
      <c r="A689" s="145"/>
    </row>
    <row r="690">
      <c r="A690" s="145"/>
    </row>
    <row r="691">
      <c r="A691" s="145"/>
    </row>
    <row r="692">
      <c r="A692" s="145"/>
    </row>
    <row r="693">
      <c r="A693" s="145"/>
    </row>
    <row r="694">
      <c r="A694" s="145"/>
    </row>
    <row r="695">
      <c r="A695" s="145"/>
    </row>
    <row r="696">
      <c r="A696" s="145"/>
    </row>
    <row r="697">
      <c r="A697" s="145"/>
    </row>
    <row r="698">
      <c r="A698" s="145"/>
    </row>
    <row r="699">
      <c r="A699" s="145"/>
    </row>
    <row r="700">
      <c r="A700" s="145"/>
    </row>
    <row r="701">
      <c r="A701" s="145"/>
    </row>
    <row r="702">
      <c r="A702" s="145"/>
    </row>
    <row r="703">
      <c r="A703" s="145"/>
    </row>
    <row r="704">
      <c r="A704" s="145"/>
    </row>
    <row r="705">
      <c r="A705" s="145"/>
    </row>
    <row r="706">
      <c r="A706" s="145"/>
    </row>
    <row r="707">
      <c r="A707" s="145"/>
    </row>
    <row r="708">
      <c r="A708" s="145"/>
    </row>
    <row r="709">
      <c r="A709" s="145"/>
    </row>
    <row r="710">
      <c r="A710" s="145"/>
    </row>
    <row r="711">
      <c r="A711" s="145"/>
    </row>
    <row r="712">
      <c r="A712" s="145"/>
    </row>
    <row r="713">
      <c r="A713" s="145"/>
    </row>
    <row r="714">
      <c r="A714" s="145"/>
    </row>
    <row r="715">
      <c r="A715" s="145"/>
    </row>
    <row r="716">
      <c r="A716" s="145"/>
    </row>
    <row r="717">
      <c r="A717" s="145"/>
    </row>
    <row r="718">
      <c r="A718" s="145"/>
    </row>
    <row r="719">
      <c r="A719" s="145"/>
    </row>
    <row r="720">
      <c r="A720" s="145"/>
    </row>
    <row r="721">
      <c r="A721" s="145"/>
    </row>
    <row r="722">
      <c r="A722" s="145"/>
    </row>
    <row r="723">
      <c r="A723" s="145"/>
    </row>
    <row r="724">
      <c r="A724" s="145"/>
    </row>
    <row r="725">
      <c r="A725" s="145"/>
    </row>
    <row r="726">
      <c r="A726" s="145"/>
    </row>
    <row r="727">
      <c r="A727" s="145"/>
    </row>
    <row r="728">
      <c r="A728" s="145"/>
    </row>
    <row r="729">
      <c r="A729" s="145"/>
    </row>
    <row r="730">
      <c r="A730" s="145"/>
    </row>
    <row r="731">
      <c r="A731" s="145"/>
    </row>
    <row r="732">
      <c r="A732" s="145"/>
    </row>
    <row r="733">
      <c r="A733" s="145"/>
    </row>
    <row r="734">
      <c r="A734" s="145"/>
    </row>
    <row r="735">
      <c r="A735" s="145"/>
    </row>
    <row r="736">
      <c r="A736" s="145"/>
    </row>
    <row r="737">
      <c r="A737" s="145"/>
    </row>
    <row r="738">
      <c r="A738" s="145"/>
    </row>
    <row r="739">
      <c r="A739" s="145"/>
    </row>
    <row r="740">
      <c r="A740" s="145"/>
    </row>
    <row r="741">
      <c r="A741" s="145"/>
    </row>
    <row r="742">
      <c r="A742" s="145"/>
    </row>
    <row r="743">
      <c r="A743" s="145"/>
    </row>
    <row r="744">
      <c r="A744" s="145"/>
    </row>
    <row r="745">
      <c r="A745" s="145"/>
    </row>
    <row r="746">
      <c r="A746" s="145"/>
    </row>
    <row r="747">
      <c r="A747" s="145"/>
    </row>
    <row r="748">
      <c r="A748" s="145"/>
    </row>
    <row r="749">
      <c r="A749" s="145"/>
    </row>
    <row r="750">
      <c r="A750" s="145"/>
    </row>
    <row r="751">
      <c r="A751" s="145"/>
    </row>
    <row r="752">
      <c r="A752" s="145"/>
    </row>
    <row r="753">
      <c r="A753" s="145"/>
    </row>
    <row r="754">
      <c r="A754" s="145"/>
    </row>
    <row r="755">
      <c r="A755" s="145"/>
    </row>
    <row r="756">
      <c r="A756" s="145"/>
    </row>
    <row r="757">
      <c r="A757" s="145"/>
    </row>
    <row r="758">
      <c r="A758" s="145"/>
    </row>
    <row r="759">
      <c r="A759" s="145"/>
    </row>
    <row r="760">
      <c r="A760" s="145"/>
    </row>
    <row r="761">
      <c r="A761" s="145"/>
    </row>
    <row r="762">
      <c r="A762" s="145"/>
    </row>
    <row r="763">
      <c r="A763" s="145"/>
    </row>
    <row r="764">
      <c r="A764" s="145"/>
    </row>
    <row r="765">
      <c r="A765" s="145"/>
    </row>
    <row r="766">
      <c r="A766" s="145"/>
    </row>
    <row r="767">
      <c r="A767" s="145"/>
    </row>
    <row r="768">
      <c r="A768" s="145"/>
    </row>
    <row r="769">
      <c r="A769" s="145"/>
    </row>
    <row r="770">
      <c r="A770" s="145"/>
    </row>
    <row r="771">
      <c r="A771" s="145"/>
    </row>
    <row r="772">
      <c r="A772" s="145"/>
    </row>
    <row r="773">
      <c r="A773" s="145"/>
    </row>
    <row r="774">
      <c r="A774" s="145"/>
    </row>
    <row r="775">
      <c r="A775" s="145"/>
    </row>
    <row r="776">
      <c r="A776" s="145"/>
    </row>
    <row r="777">
      <c r="A777" s="145"/>
    </row>
    <row r="778">
      <c r="A778" s="145"/>
    </row>
    <row r="779">
      <c r="A779" s="145"/>
    </row>
    <row r="780">
      <c r="A780" s="145"/>
    </row>
    <row r="781">
      <c r="A781" s="145"/>
    </row>
    <row r="782">
      <c r="A782" s="145"/>
    </row>
    <row r="783">
      <c r="A783" s="145"/>
    </row>
    <row r="784">
      <c r="A784" s="145"/>
    </row>
    <row r="785">
      <c r="A785" s="145"/>
    </row>
    <row r="786">
      <c r="A786" s="145"/>
    </row>
    <row r="787">
      <c r="A787" s="145"/>
    </row>
    <row r="788">
      <c r="A788" s="145"/>
    </row>
    <row r="789">
      <c r="A789" s="145"/>
    </row>
    <row r="790">
      <c r="A790" s="145"/>
    </row>
    <row r="791">
      <c r="A791" s="145"/>
    </row>
    <row r="792">
      <c r="A792" s="145"/>
    </row>
    <row r="793">
      <c r="A793" s="145"/>
    </row>
    <row r="794">
      <c r="A794" s="145"/>
    </row>
    <row r="795">
      <c r="A795" s="145"/>
    </row>
    <row r="796">
      <c r="A796" s="145"/>
    </row>
    <row r="797">
      <c r="A797" s="145"/>
    </row>
    <row r="798">
      <c r="A798" s="145"/>
    </row>
    <row r="799">
      <c r="A799" s="145"/>
    </row>
    <row r="800">
      <c r="A800" s="145"/>
    </row>
    <row r="801">
      <c r="A801" s="145"/>
    </row>
    <row r="802">
      <c r="A802" s="145"/>
    </row>
    <row r="803">
      <c r="A803" s="145"/>
    </row>
    <row r="804">
      <c r="A804" s="145"/>
    </row>
    <row r="805">
      <c r="A805" s="145"/>
    </row>
    <row r="806">
      <c r="A806" s="145"/>
    </row>
    <row r="807">
      <c r="A807" s="145"/>
    </row>
    <row r="808">
      <c r="A808" s="145"/>
    </row>
    <row r="809">
      <c r="A809" s="145"/>
    </row>
    <row r="810">
      <c r="A810" s="145"/>
    </row>
    <row r="811">
      <c r="A811" s="145"/>
    </row>
    <row r="812">
      <c r="A812" s="145"/>
    </row>
    <row r="813">
      <c r="A813" s="145"/>
    </row>
    <row r="814">
      <c r="A814" s="145"/>
    </row>
    <row r="815">
      <c r="A815" s="145"/>
    </row>
    <row r="816">
      <c r="A816" s="145"/>
    </row>
    <row r="817">
      <c r="A817" s="145"/>
    </row>
    <row r="818">
      <c r="A818" s="145"/>
    </row>
    <row r="819">
      <c r="A819" s="145"/>
    </row>
    <row r="820">
      <c r="A820" s="145"/>
    </row>
    <row r="821">
      <c r="A821" s="145"/>
    </row>
    <row r="822">
      <c r="A822" s="145"/>
    </row>
    <row r="823">
      <c r="A823" s="145"/>
    </row>
    <row r="824">
      <c r="A824" s="145"/>
    </row>
    <row r="825">
      <c r="A825" s="145"/>
    </row>
    <row r="826">
      <c r="A826" s="145"/>
    </row>
    <row r="827">
      <c r="A827" s="145"/>
    </row>
    <row r="828">
      <c r="A828" s="145"/>
    </row>
    <row r="829">
      <c r="A829" s="145"/>
    </row>
    <row r="830">
      <c r="A830" s="145"/>
    </row>
    <row r="831">
      <c r="A831" s="145"/>
    </row>
    <row r="832">
      <c r="A832" s="145"/>
    </row>
    <row r="833">
      <c r="A833" s="145"/>
    </row>
    <row r="834">
      <c r="A834" s="145"/>
    </row>
    <row r="835">
      <c r="A835" s="145"/>
    </row>
    <row r="836">
      <c r="A836" s="145"/>
    </row>
    <row r="837">
      <c r="A837" s="145"/>
    </row>
    <row r="838">
      <c r="A838" s="145"/>
    </row>
    <row r="839">
      <c r="A839" s="145"/>
    </row>
    <row r="840">
      <c r="A840" s="145"/>
    </row>
    <row r="841">
      <c r="A841" s="145"/>
    </row>
    <row r="842">
      <c r="A842" s="145"/>
    </row>
    <row r="843">
      <c r="A843" s="145"/>
    </row>
    <row r="844">
      <c r="A844" s="145"/>
    </row>
    <row r="845">
      <c r="A845" s="145"/>
    </row>
    <row r="846">
      <c r="A846" s="145"/>
    </row>
    <row r="847">
      <c r="A847" s="145"/>
    </row>
    <row r="848">
      <c r="A848" s="145"/>
    </row>
    <row r="849">
      <c r="A849" s="145"/>
    </row>
    <row r="850">
      <c r="A850" s="145"/>
    </row>
    <row r="851">
      <c r="A851" s="145"/>
    </row>
    <row r="852">
      <c r="A852" s="145"/>
    </row>
    <row r="853">
      <c r="A853" s="145"/>
    </row>
    <row r="854">
      <c r="A854" s="145"/>
    </row>
    <row r="855">
      <c r="A855" s="145"/>
    </row>
    <row r="856">
      <c r="A856" s="145"/>
    </row>
    <row r="857">
      <c r="A857" s="145"/>
    </row>
    <row r="858">
      <c r="A858" s="145"/>
    </row>
    <row r="859">
      <c r="A859" s="145"/>
    </row>
    <row r="860">
      <c r="A860" s="145"/>
    </row>
    <row r="861">
      <c r="A861" s="145"/>
    </row>
    <row r="862">
      <c r="A862" s="145"/>
    </row>
    <row r="863">
      <c r="A863" s="145"/>
    </row>
    <row r="864">
      <c r="A864" s="145"/>
    </row>
    <row r="865">
      <c r="A865" s="145"/>
    </row>
    <row r="866">
      <c r="A866" s="145"/>
    </row>
    <row r="867">
      <c r="A867" s="145"/>
    </row>
    <row r="868">
      <c r="A868" s="145"/>
    </row>
    <row r="869">
      <c r="A869" s="145"/>
    </row>
    <row r="870">
      <c r="A870" s="145"/>
    </row>
    <row r="871">
      <c r="A871" s="145"/>
    </row>
    <row r="872">
      <c r="A872" s="145"/>
    </row>
    <row r="873">
      <c r="A873" s="145"/>
    </row>
    <row r="874">
      <c r="A874" s="145"/>
    </row>
    <row r="875">
      <c r="A875" s="145"/>
    </row>
    <row r="876">
      <c r="A876" s="145"/>
    </row>
    <row r="877">
      <c r="A877" s="145"/>
    </row>
    <row r="878">
      <c r="A878" s="145"/>
    </row>
    <row r="879">
      <c r="A879" s="145"/>
    </row>
    <row r="880">
      <c r="A880" s="145"/>
    </row>
    <row r="881">
      <c r="A881" s="145"/>
    </row>
    <row r="882">
      <c r="A882" s="145"/>
    </row>
    <row r="883">
      <c r="A883" s="145"/>
    </row>
    <row r="884">
      <c r="A884" s="145"/>
    </row>
    <row r="885">
      <c r="A885" s="145"/>
    </row>
    <row r="886">
      <c r="A886" s="145"/>
    </row>
    <row r="887">
      <c r="A887" s="145"/>
    </row>
    <row r="888">
      <c r="A888" s="145"/>
    </row>
    <row r="889">
      <c r="A889" s="145"/>
    </row>
    <row r="890">
      <c r="A890" s="145"/>
    </row>
    <row r="891">
      <c r="A891" s="145"/>
    </row>
    <row r="892">
      <c r="A892" s="145"/>
    </row>
    <row r="893">
      <c r="A893" s="145"/>
    </row>
    <row r="894">
      <c r="A894" s="145"/>
    </row>
    <row r="895">
      <c r="A895" s="145"/>
    </row>
    <row r="896">
      <c r="A896" s="145"/>
    </row>
    <row r="897">
      <c r="A897" s="145"/>
    </row>
    <row r="898">
      <c r="A898" s="145"/>
    </row>
    <row r="899">
      <c r="A899" s="145"/>
    </row>
    <row r="900">
      <c r="A900" s="145"/>
    </row>
    <row r="901">
      <c r="A901" s="145"/>
    </row>
    <row r="902">
      <c r="A902" s="145"/>
    </row>
    <row r="903">
      <c r="A903" s="145"/>
    </row>
    <row r="904">
      <c r="A904" s="145"/>
    </row>
    <row r="905">
      <c r="A905" s="145"/>
    </row>
    <row r="906">
      <c r="A906" s="145"/>
    </row>
    <row r="907">
      <c r="A907" s="145"/>
    </row>
    <row r="908">
      <c r="A908" s="145"/>
    </row>
    <row r="909">
      <c r="A909" s="145"/>
    </row>
    <row r="910">
      <c r="A910" s="145"/>
    </row>
    <row r="911">
      <c r="A911" s="145"/>
    </row>
    <row r="912">
      <c r="A912" s="145"/>
    </row>
    <row r="913">
      <c r="A913" s="145"/>
    </row>
    <row r="914">
      <c r="A914" s="145"/>
    </row>
    <row r="915">
      <c r="A915" s="145"/>
    </row>
    <row r="916">
      <c r="A916" s="145"/>
    </row>
    <row r="917">
      <c r="A917" s="145"/>
    </row>
    <row r="918">
      <c r="A918" s="145"/>
    </row>
    <row r="919">
      <c r="A919" s="145"/>
    </row>
    <row r="920">
      <c r="A920" s="145"/>
    </row>
    <row r="921">
      <c r="A921" s="145"/>
    </row>
    <row r="922">
      <c r="A922" s="145"/>
    </row>
    <row r="923">
      <c r="A923" s="145"/>
    </row>
    <row r="924">
      <c r="A924" s="145"/>
    </row>
    <row r="925">
      <c r="A925" s="145"/>
    </row>
    <row r="926">
      <c r="A926" s="145"/>
    </row>
    <row r="927">
      <c r="A927" s="145"/>
    </row>
    <row r="928">
      <c r="A928" s="145"/>
    </row>
    <row r="929">
      <c r="A929" s="145"/>
    </row>
    <row r="930">
      <c r="A930" s="145"/>
    </row>
    <row r="931">
      <c r="A931" s="145"/>
    </row>
    <row r="932">
      <c r="A932" s="145"/>
    </row>
    <row r="933">
      <c r="A933" s="145"/>
    </row>
    <row r="934">
      <c r="A934" s="145"/>
    </row>
    <row r="935">
      <c r="A935" s="145"/>
    </row>
    <row r="936">
      <c r="A936" s="145"/>
    </row>
    <row r="937">
      <c r="A937" s="145"/>
    </row>
    <row r="938">
      <c r="A938" s="145"/>
    </row>
    <row r="939">
      <c r="A939" s="145"/>
    </row>
    <row r="940">
      <c r="A940" s="145"/>
    </row>
    <row r="941">
      <c r="A941" s="145"/>
    </row>
    <row r="942">
      <c r="A942" s="145"/>
    </row>
    <row r="943">
      <c r="A943" s="145"/>
    </row>
    <row r="944">
      <c r="A944" s="145"/>
    </row>
    <row r="945">
      <c r="A945" s="145"/>
    </row>
    <row r="946">
      <c r="A946" s="145"/>
    </row>
    <row r="947">
      <c r="A947" s="145"/>
    </row>
    <row r="948">
      <c r="A948" s="145"/>
    </row>
    <row r="949">
      <c r="A949" s="145"/>
    </row>
    <row r="950">
      <c r="A950" s="145"/>
    </row>
    <row r="951">
      <c r="A951" s="145"/>
    </row>
    <row r="952">
      <c r="A952" s="145"/>
    </row>
    <row r="953">
      <c r="A953" s="145"/>
    </row>
    <row r="954">
      <c r="A954" s="145"/>
    </row>
    <row r="955">
      <c r="A955" s="145"/>
    </row>
    <row r="956">
      <c r="A956" s="145"/>
    </row>
    <row r="957">
      <c r="A957" s="145"/>
    </row>
    <row r="958">
      <c r="A958" s="145"/>
    </row>
    <row r="959">
      <c r="A959" s="145"/>
    </row>
    <row r="960">
      <c r="A960" s="145"/>
    </row>
    <row r="961">
      <c r="A961" s="145"/>
    </row>
    <row r="962">
      <c r="A962" s="145"/>
    </row>
    <row r="963">
      <c r="A963" s="145"/>
    </row>
    <row r="964">
      <c r="A964" s="145"/>
    </row>
    <row r="965">
      <c r="A965" s="145"/>
    </row>
    <row r="966">
      <c r="A966" s="145"/>
    </row>
    <row r="967">
      <c r="A967" s="145"/>
    </row>
    <row r="968">
      <c r="A968" s="145"/>
    </row>
    <row r="969">
      <c r="A969" s="145"/>
    </row>
    <row r="970">
      <c r="A970" s="145"/>
    </row>
    <row r="971">
      <c r="A971" s="145"/>
    </row>
    <row r="972">
      <c r="A972" s="145"/>
    </row>
    <row r="973">
      <c r="A973" s="14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7.88"/>
    <col customWidth="1" min="3" max="3" width="17.0"/>
    <col customWidth="1" min="4" max="4" width="12.5"/>
    <col customWidth="1" min="5" max="5" width="13.75"/>
  </cols>
  <sheetData>
    <row r="1">
      <c r="A1" s="160" t="s">
        <v>245</v>
      </c>
      <c r="B1" s="160" t="s">
        <v>246</v>
      </c>
      <c r="C1" s="160" t="s">
        <v>247</v>
      </c>
      <c r="D1" s="160" t="s">
        <v>248</v>
      </c>
      <c r="E1" s="160" t="s">
        <v>249</v>
      </c>
    </row>
    <row r="2">
      <c r="A2" s="145">
        <f>SUM('Liste des tâches'!G:G)</f>
        <v>2832</v>
      </c>
      <c r="B2" s="145">
        <f>SUM('Liste des tâches'!H:H)</f>
        <v>3089</v>
      </c>
      <c r="C2" s="145">
        <f>SUM('Liste des tâches'!I:I)</f>
        <v>-257</v>
      </c>
      <c r="D2" s="161">
        <f>(B2/(B2+C2))</f>
        <v>1.090748588</v>
      </c>
      <c r="E2" s="162">
        <f>((B2+C2)-A2)/A2</f>
        <v>0</v>
      </c>
    </row>
    <row r="3">
      <c r="C3" s="163">
        <f>C2/60</f>
        <v>-4.283333333</v>
      </c>
      <c r="D3" s="164" t="s">
        <v>250</v>
      </c>
    </row>
  </sheetData>
  <drawing r:id="rId1"/>
</worksheet>
</file>